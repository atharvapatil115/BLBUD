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https://hexawareonline.sharepoint.com/sites/Belfius/Shared Documents/2025/CVA/"/>
    </mc:Choice>
  </mc:AlternateContent>
  <xr:revisionPtr revIDLastSave="1684" documentId="11_33E4FAF6A4BBE9B3AC84FF83BCC7844AFE06C6CC" xr6:coauthVersionLast="47" xr6:coauthVersionMax="47" xr10:uidLastSave="{E858B7ED-B56E-4A02-BF5E-C6C78C3ED535}"/>
  <bookViews>
    <workbookView xWindow="-120" yWindow="-120" windowWidth="23280" windowHeight="14880" xr2:uid="{00000000-000D-0000-FFFF-FFFF00000000}"/>
  </bookViews>
  <sheets>
    <sheet name="2026" sheetId="6" r:id="rId1"/>
    <sheet name="2025" sheetId="4" r:id="rId2"/>
    <sheet name="2024" sheetId="3" r:id="rId3"/>
    <sheet name="2023" sheetId="1" r:id="rId4"/>
  </sheets>
  <definedNames>
    <definedName name="_xlnm._FilterDatabase" localSheetId="3" hidden="1">'2023'!$A$1:$J$18</definedName>
    <definedName name="_xlnm._FilterDatabase" localSheetId="2" hidden="1">'2024'!$A$1:$K$1</definedName>
    <definedName name="_xlnm._FilterDatabase" localSheetId="1" hidden="1">'2025'!$A$1:$M$25</definedName>
    <definedName name="_xlnm._FilterDatabase" localSheetId="0" hidden="1">'2026'!$A$1:$L$9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A3" i="3"/>
  <c r="A4" i="3"/>
  <c r="A5" i="3"/>
  <c r="A7" i="3"/>
  <c r="A8" i="3"/>
  <c r="A9" i="3"/>
  <c r="A10" i="3"/>
  <c r="A11" i="3"/>
  <c r="A12" i="3"/>
  <c r="A13" i="3"/>
  <c r="A14" i="3"/>
  <c r="A15" i="3"/>
  <c r="A16" i="3"/>
  <c r="A17" i="3"/>
  <c r="A18" i="3"/>
</calcChain>
</file>

<file path=xl/sharedStrings.xml><?xml version="1.0" encoding="utf-8"?>
<sst xmlns="http://schemas.openxmlformats.org/spreadsheetml/2006/main" count="526" uniqueCount="207">
  <si>
    <t>#</t>
  </si>
  <si>
    <t>Team / Project ID</t>
  </si>
  <si>
    <t>Brainbox ID</t>
  </si>
  <si>
    <t>VAID</t>
  </si>
  <si>
    <t>Brainbox Status</t>
  </si>
  <si>
    <t>Idea</t>
  </si>
  <si>
    <t>Date Raised</t>
  </si>
  <si>
    <t>Implmentation Status</t>
  </si>
  <si>
    <t>Detailed Status</t>
  </si>
  <si>
    <t>Lead</t>
  </si>
  <si>
    <t>Expected  Date</t>
  </si>
  <si>
    <t>ESR-Month</t>
  </si>
  <si>
    <t>Remarks</t>
  </si>
  <si>
    <t>Testing</t>
  </si>
  <si>
    <t>Registered</t>
  </si>
  <si>
    <r>
      <rPr>
        <b/>
        <sz val="9"/>
        <color rgb="FF000000"/>
        <rFont val="Calibri"/>
      </rPr>
      <t xml:space="preserve">Automatic Email notification: </t>
    </r>
    <r>
      <rPr>
        <sz val="9"/>
        <color rgb="FF000000"/>
        <rFont val="Calibri"/>
      </rPr>
      <t>Execution Report and Output Report Generation and Email notification without creating anything manually</t>
    </r>
  </si>
  <si>
    <t>Nov, 2025</t>
  </si>
  <si>
    <t>Completed</t>
  </si>
  <si>
    <t>Demo shown, Customer approval received, Registered in BrainBox need to calculate the savings</t>
  </si>
  <si>
    <t>Karthick/Rajesh</t>
  </si>
  <si>
    <t>June,2026</t>
  </si>
  <si>
    <t>Pending</t>
  </si>
  <si>
    <r>
      <rPr>
        <b/>
        <sz val="9"/>
        <color rgb="FF000000"/>
        <rFont val="Calibri"/>
      </rPr>
      <t>Target process accelerator:</t>
    </r>
    <r>
      <rPr>
        <sz val="9"/>
        <color rgb="FF000000"/>
        <rFont val="Calibri"/>
      </rPr>
      <t xml:space="preserve"> generate importable entities, refresh baseline in a click of button, create entities directly using rest API</t>
    </r>
  </si>
  <si>
    <t>Demo shown, waiting for customer approval</t>
  </si>
  <si>
    <r>
      <rPr>
        <b/>
        <sz val="9"/>
        <color rgb="FF000000"/>
        <rFont val="Calibri"/>
      </rPr>
      <t xml:space="preserve">Premium Macro Excel </t>
    </r>
    <r>
      <rPr>
        <sz val="9"/>
        <color rgb="FF000000"/>
        <rFont val="Calibri"/>
      </rPr>
      <t>: General approach in Premium Excel Macro  to reduce the maintenace efforts in case of changes in the premiu sheets.</t>
    </r>
  </si>
  <si>
    <t>Jan, 2026</t>
  </si>
  <si>
    <t>Received customer approval
&amp; Brain Box approved</t>
  </si>
  <si>
    <t>NA</t>
  </si>
  <si>
    <t>Feb,2026</t>
  </si>
  <si>
    <r>
      <rPr>
        <b/>
        <sz val="9"/>
        <color rgb="FF000000"/>
        <rFont val="Calibri"/>
      </rPr>
      <t>Test Data Management Utility:</t>
    </r>
    <r>
      <rPr>
        <sz val="9"/>
        <color rgb="FF000000"/>
        <rFont val="Calibri"/>
      </rPr>
      <t>We automated 6 prerequisite checks for 650+ accounts using Excel VBA macros, reducing manual effort from 5-6 minutes to 1-2 minutes per account, saving ~50 MDs per release.</t>
    </r>
  </si>
  <si>
    <t>Dec, 2025</t>
  </si>
  <si>
    <t>Demo shown, received customer approval. Not able to approve ticket raised - RITM1676748</t>
  </si>
  <si>
    <t>Jun,2026</t>
  </si>
  <si>
    <r>
      <t xml:space="preserve">Contract Fetch &amp; Delete - Macro Utility - 
</t>
    </r>
    <r>
      <rPr>
        <sz val="9"/>
        <color rgb="FF000000"/>
        <rFont val="Calibri"/>
        <family val="2"/>
      </rPr>
      <t>Utility to fetch life contracts from FOXE and delete/Terminate the contracts in AS400 automatically using VB code in excel to reduce manual efforts every time during regression/sanity execution</t>
    </r>
  </si>
  <si>
    <t>received customer approval
&amp; Brain Box approved</t>
  </si>
  <si>
    <t>Mar,2026</t>
  </si>
  <si>
    <r>
      <rPr>
        <b/>
        <sz val="9"/>
        <color rgb="FF000000"/>
        <rFont val="Calibri"/>
      </rPr>
      <t xml:space="preserve">Confluence Page:
</t>
    </r>
    <r>
      <rPr>
        <sz val="9"/>
        <color rgb="FF000000"/>
        <rFont val="Calibri"/>
      </rPr>
      <t>Confluence page is created with information on sanity checks, regression, test coverage per domains and applications</t>
    </r>
  </si>
  <si>
    <t>Feb, 2026</t>
  </si>
  <si>
    <t>Demo shown, received customer approval, Registered in BrainBox need to calculate the savings</t>
  </si>
  <si>
    <t>ESB</t>
  </si>
  <si>
    <t>Approval Pending</t>
  </si>
  <si>
    <t>Integration Mapping anomolies detection</t>
  </si>
  <si>
    <t>Sep,2025</t>
  </si>
  <si>
    <t>In-Progress</t>
  </si>
  <si>
    <t>demo to customers is pending</t>
  </si>
  <si>
    <t>Vidhyakar</t>
  </si>
  <si>
    <t>Oct - 2025, Customer Approval expected</t>
  </si>
  <si>
    <t>Filtering of error reports by fetching the recently deployed version of containers from the Deployed machine.</t>
  </si>
  <si>
    <t>Idea Phase</t>
  </si>
  <si>
    <t>Excel Utility to create a BDI request through API
Problem stament: Currently not possible to create a Request through BO in AXON for Bike product</t>
  </si>
  <si>
    <t>Apr,2026</t>
  </si>
  <si>
    <t>May,2026</t>
  </si>
  <si>
    <t>Bank MS Wave 1</t>
  </si>
  <si>
    <t>Automatic Notification of Daily Batch Completion Iin All ENV</t>
  </si>
  <si>
    <t>Mar, 2026</t>
  </si>
  <si>
    <t>Praveen Shetty</t>
  </si>
  <si>
    <t>Date Widget</t>
  </si>
  <si>
    <t>Waiting for Client approval</t>
  </si>
  <si>
    <t>Jul, 2026</t>
  </si>
  <si>
    <t>Sr. No.</t>
  </si>
  <si>
    <t xml:space="preserve">Team </t>
  </si>
  <si>
    <t>CVA Status</t>
  </si>
  <si>
    <t>ESR</t>
  </si>
  <si>
    <t>BI - Reporting &amp; Admin</t>
  </si>
  <si>
    <t>To Automate Post Promote checks</t>
  </si>
  <si>
    <t>Q4-2024</t>
  </si>
  <si>
    <t>Approved</t>
  </si>
  <si>
    <t>Abdul</t>
  </si>
  <si>
    <t>Reduce the redundant event towards AXON subscriber</t>
  </si>
  <si>
    <t>Done</t>
  </si>
  <si>
    <t>Implementation completed. Yet to be released. Khaiser and vamsi worked on the implementation.</t>
  </si>
  <si>
    <t>R25.4 (Dec 2025)</t>
  </si>
  <si>
    <t>Improve Mainframe batch monthly jobs execution efficiency by managing special resources dependancy .</t>
  </si>
  <si>
    <t>Update the Operator instruction of each job to mark them as critical, ensuring they are given priority for execution.
Asked Kyndryl to remove the special resources associated with each job in order to initiate execution as soon as possible and avoid delays.
This was done in R24.2</t>
  </si>
  <si>
    <r>
      <rPr>
        <strike/>
        <sz val="11"/>
        <color theme="1"/>
        <rFont val="Calibri"/>
        <family val="2"/>
      </rPr>
      <t>Manoj Nair</t>
    </r>
    <r>
      <rPr>
        <sz val="11"/>
        <color theme="1"/>
        <rFont val="Calibri"/>
        <family val="2"/>
      </rPr>
      <t xml:space="preserve">
Praveen Shetty</t>
    </r>
  </si>
  <si>
    <t>End of October</t>
  </si>
  <si>
    <t>Added in Brainbox on 10-Oct-2025</t>
  </si>
  <si>
    <t>BI - Reporting</t>
  </si>
  <si>
    <t>Clean-up Inventory for DB2 Tables</t>
  </si>
  <si>
    <t>Rejected</t>
  </si>
  <si>
    <t>Rejected due to SAS To Azure Migration</t>
  </si>
  <si>
    <t>To be rejected by Sachin Patil in BrainBox</t>
  </si>
  <si>
    <t>Testing - Insurance</t>
  </si>
  <si>
    <t>Tcode - (Acceptance Rule Creator Tool)  - User can create multiple acceptance rules for numerous TCOD’s at a time by a single click in the excel utility, No Need to create the acceptance rules in FOXE PRD manually</t>
  </si>
  <si>
    <t>Insurance MS</t>
  </si>
  <si>
    <t>Runoff  Team (IAA Life)  - 2 improvement idea implemented to fix ongoing issues in jobs</t>
  </si>
  <si>
    <t>CVA detauls shared with Customer , awaiting approval</t>
  </si>
  <si>
    <t>Suvir</t>
  </si>
  <si>
    <t>Files received from external agencies - Crefius / ELantis to be backed up. This eliminated dependency on these agencies to provide details of transmitted data for retrospective analysis in case of data issues or Job abends.</t>
  </si>
  <si>
    <t>Automation of one of the Pre-release checks for Corporate Action using UIPath</t>
  </si>
  <si>
    <t>Pass the email address of Users in Parameter files instead of hardcoding in JCL. This eliminated development efforts in case of change of users</t>
  </si>
  <si>
    <t>Qlik Sense Report for Corona Checks</t>
  </si>
  <si>
    <t>Qlik Sense Report for Batch Monitoring</t>
  </si>
  <si>
    <t>AI team, rejected to share table access due to which we cannot progress with the idea</t>
  </si>
  <si>
    <t>Not initiated</t>
  </si>
  <si>
    <t>Further action after following up with Customer</t>
  </si>
  <si>
    <t>AXON - Claims Regression - Created an excel with power query to extract necessary information after release execution to help Business and IT to use it for further tests and reference</t>
  </si>
  <si>
    <t>June, 2025</t>
  </si>
  <si>
    <t>Registered in brain box, waiting for approval</t>
  </si>
  <si>
    <t>Aug Release</t>
  </si>
  <si>
    <t>Sep</t>
  </si>
  <si>
    <t>Batch Mail Communiation to  Business</t>
  </si>
  <si>
    <t>Oct,2025</t>
  </si>
  <si>
    <t>Client rejected the approach of implementation</t>
  </si>
  <si>
    <t xml:space="preserve">Client rejected the approach </t>
  </si>
  <si>
    <t>PL-SQL</t>
  </si>
  <si>
    <t>Automation for inventory scope analysis</t>
  </si>
  <si>
    <t>Aug,2025</t>
  </si>
  <si>
    <t>Raj</t>
  </si>
  <si>
    <t>Payment Services - Staff Aug</t>
  </si>
  <si>
    <t xml:space="preserve">Modified the  process between IDMS and DB2 databases that resulted in significant savings (on an average 4 hours per day) in analysis effort and effort required for fixing the issues. This is for a duration of around 3 months. </t>
  </si>
  <si>
    <t>Testing - DM</t>
  </si>
  <si>
    <t>Reviewing the Perfomance of the existing scripts and generating the base transformations using Belfius GPT</t>
  </si>
  <si>
    <t>Cost effective analysis done, waiting for approval</t>
  </si>
  <si>
    <t>Cost Benefit analysis submitted for approval</t>
  </si>
  <si>
    <t>Pre deployment activities</t>
  </si>
  <si>
    <t>Replace the MemoApix Step by equivalent SYTPMAIL step for sending email through JCL</t>
  </si>
  <si>
    <t>Testing - Bank</t>
  </si>
  <si>
    <t>Scheduled debit card transactions: simulation of card transactions for every month to create meaningful transaction history for data driver insights</t>
  </si>
  <si>
    <t>Automatic Email notification: Execution Report and Output Report Generation and Email notification without creating anything manually</t>
  </si>
  <si>
    <t>Target process accelerator: generate importable entities, refresh baseline in a click of button, create entities directly using rest API</t>
  </si>
  <si>
    <t>Demo/Discussion ongoing</t>
  </si>
  <si>
    <t xml:space="preserve">Premium Validation – Easy Maintenance Macro, Generic VB code can be used for Premium validation of all products 
</t>
  </si>
  <si>
    <t>Jan,2026</t>
  </si>
  <si>
    <t>Demo shown, received customer approval
- Internal Demo Pending</t>
  </si>
  <si>
    <t>Status</t>
  </si>
  <si>
    <t>Automate Verification of transcode</t>
  </si>
  <si>
    <t>Initial Idea Phase</t>
  </si>
  <si>
    <t>Testing - Bank Factory</t>
  </si>
  <si>
    <t>Confluence Pooler Phaseout</t>
  </si>
  <si>
    <t xml:space="preserve">Registered in Brain box, Customer has approved. Demo is given. </t>
  </si>
  <si>
    <t>Closed</t>
  </si>
  <si>
    <t>Added in ESR (March 2024)</t>
  </si>
  <si>
    <t xml:space="preserve">Optimizing Job Configurations to Reduce Memo Email Traffic </t>
  </si>
  <si>
    <t xml:space="preserve">Discussion happened with SME and changes agreed.
17 jobs are adapted, which will remove 45 emails, including all 3 regions – GTU, UAT, PRD. Solution was implemented in 2 parts where 10400 emails (16 JCLs) were stopped in R24.1 and 13200 emails (64 JCLs) were stopped in R24.2
</t>
  </si>
  <si>
    <t>Manoj Nair</t>
  </si>
  <si>
    <r>
      <t xml:space="preserve">Clean up the jobs which are in </t>
    </r>
    <r>
      <rPr>
        <sz val="10"/>
        <color theme="1"/>
        <rFont val="Calibri"/>
        <family val="2"/>
        <charset val="1"/>
      </rPr>
      <t xml:space="preserve">JCL </t>
    </r>
    <r>
      <rPr>
        <sz val="10"/>
        <color rgb="FF000000"/>
        <rFont val="Calibri"/>
        <family val="2"/>
        <charset val="1"/>
      </rPr>
      <t xml:space="preserve">library but not in </t>
    </r>
    <r>
      <rPr>
        <sz val="10"/>
        <color theme="1"/>
        <rFont val="Calibri"/>
        <family val="2"/>
        <charset val="1"/>
      </rPr>
      <t>TWS P</t>
    </r>
    <r>
      <rPr>
        <sz val="10"/>
        <color rgb="FF000000"/>
        <rFont val="Calibri"/>
        <family val="2"/>
        <charset val="1"/>
      </rPr>
      <t>lanning</t>
    </r>
    <r>
      <rPr>
        <sz val="10"/>
        <color theme="1"/>
        <rFont val="Calibri"/>
        <family val="2"/>
        <charset val="1"/>
      </rPr>
      <t xml:space="preserve"> (</t>
    </r>
    <r>
      <rPr>
        <sz val="10"/>
        <color rgb="FF000000"/>
        <rFont val="Calibri"/>
        <family val="2"/>
        <charset val="1"/>
      </rPr>
      <t xml:space="preserve">to avoid having unnecessary </t>
    </r>
    <r>
      <rPr>
        <sz val="10"/>
        <color theme="1"/>
        <rFont val="Calibri"/>
        <family val="2"/>
        <charset val="1"/>
      </rPr>
      <t>queries in relation to the jobs not being used)</t>
    </r>
    <r>
      <rPr>
        <sz val="10"/>
        <color rgb="FF000000"/>
        <rFont val="Calibri"/>
        <family val="2"/>
        <charset val="1"/>
      </rPr>
      <t>.</t>
    </r>
  </si>
  <si>
    <t>List is derived for the affected jobs and idea has been approved by the Team/SME – Adapted in PRD with R24.1. Actual scratching from libraries will happen 3-4 weeks later, as per the process.</t>
  </si>
  <si>
    <t>F2C</t>
  </si>
  <si>
    <t>Automate regression testing</t>
  </si>
  <si>
    <t>Approved by client manager Andy Demesmaeker.</t>
  </si>
  <si>
    <t>Jitendra</t>
  </si>
  <si>
    <t>CRM Team - Provide Solution for recurrent failure for 2 jobs and also fixed one job that were failing due to sync issue.</t>
  </si>
  <si>
    <t>CVA approved by Customer added in Brainbox</t>
  </si>
  <si>
    <t>Daily Batch Mailbox Automation</t>
  </si>
  <si>
    <t>Q3-2024</t>
  </si>
  <si>
    <t>Raj/Abdul</t>
  </si>
  <si>
    <t>Job partitioning in PRD environment for CDWH.</t>
  </si>
  <si>
    <t>July Prod release</t>
  </si>
  <si>
    <t xml:space="preserve">To Automate Pre &amp; Post checks of Promote </t>
  </si>
  <si>
    <t>Development InProgress .Discussion on-going between Reporting team and Admin team . Registered in BrainBox</t>
  </si>
  <si>
    <t>Sep Prod release</t>
  </si>
  <si>
    <t>Testing - Business</t>
  </si>
  <si>
    <t>Creation of macro to automate data filling in premium file by directly fetching inputs from testcases - in order to reduce the manual effort in premium validation</t>
  </si>
  <si>
    <t>Team are working on it</t>
  </si>
  <si>
    <r>
      <rPr>
        <b/>
        <sz val="10"/>
        <color rgb="FF000000"/>
        <rFont val="Calibri"/>
        <family val="2"/>
      </rPr>
      <t xml:space="preserve">	Signing &amp; Authentication</t>
    </r>
    <r>
      <rPr>
        <sz val="10"/>
        <color rgb="FF000000"/>
        <rFont val="Calibri"/>
        <family val="2"/>
      </rPr>
      <t xml:space="preserve"> - Creation &amp; Deletion of BDM_BDN Contracts for access of Belfius direct net &amp; Belfius direct mobile applications and to delete all the enrolled mobile devices in BDM contract</t>
    </r>
  </si>
  <si>
    <t>Implementation completed. registred in brainbox, Waiting for approval and by next CVA meet we can have the demo</t>
  </si>
  <si>
    <t>30th Sep, 2024</t>
  </si>
  <si>
    <t>Tobe added in ESR september 2024</t>
  </si>
  <si>
    <t>CRM Team - Provide Solution for recurrent problem during efficy load, causing data loss</t>
  </si>
  <si>
    <t xml:space="preserve">CVA approved by Customer added in Brainbox </t>
  </si>
  <si>
    <t>Added to ESR in JAN 2024</t>
  </si>
  <si>
    <t>Referential Team - Provide Solution for recurrent failure for 2 jobs.</t>
  </si>
  <si>
    <t>Referential Team - 2 improvement idea implemented to fix ongoing issues in jobs.</t>
  </si>
  <si>
    <t>Program is developed testing in  progress</t>
  </si>
  <si>
    <t>Not release dependent</t>
  </si>
  <si>
    <t>Registered in Brain box, Planning for Demo</t>
  </si>
  <si>
    <t>IPA</t>
  </si>
  <si>
    <t>Automation of Tech User Login (Mainframe Application)</t>
  </si>
  <si>
    <t>Customer Approved</t>
  </si>
  <si>
    <t>Amol</t>
  </si>
  <si>
    <t>Pokering Mechanism of Story Point Calculation</t>
  </si>
  <si>
    <t>Demo happened on 18th Aug. Brainbox submitted on 18th Aug. Brainbox approved on 4th Sep</t>
  </si>
  <si>
    <t>Automated TIBCO Hawk rules generation for monitoring and alerting TIBCO BW services in Linux machine</t>
  </si>
  <si>
    <t>Khaiser</t>
  </si>
  <si>
    <t>Submitted</t>
  </si>
  <si>
    <t>Brainbox submitted. Analysis and improvement submission is pending</t>
  </si>
  <si>
    <t>ToDo</t>
  </si>
  <si>
    <t>?</t>
  </si>
  <si>
    <t>To be picked up in the week of 15th May</t>
  </si>
  <si>
    <t>C&amp;CM</t>
  </si>
  <si>
    <t>Release Checks</t>
  </si>
  <si>
    <t>Done.</t>
  </si>
  <si>
    <t>Automation of Peer Review process using Sonarqube</t>
  </si>
  <si>
    <t>PDF checks</t>
  </si>
  <si>
    <t xml:space="preserve">Actor/Contract creation </t>
  </si>
  <si>
    <t>Registered in Brain box, Cost effective anlysis done, Planned for Demo during the next meet</t>
  </si>
  <si>
    <t>To be completed within 15th Mar 2024</t>
  </si>
  <si>
    <t>DE</t>
  </si>
  <si>
    <t>Build validation</t>
  </si>
  <si>
    <t>Demo with client with is done and yet to get approval. Client has requested to implement in DWAM ML project moved to cloud recently. Also need to update the existing build validation pipline with new changes that CCoE has established. Update the new CCoE changes to the pipeline and also waiting for access to DWAM project repository on cloud.</t>
  </si>
  <si>
    <t>Jagan</t>
  </si>
  <si>
    <t>DWH</t>
  </si>
  <si>
    <t>GTU Partitioning Automation</t>
  </si>
  <si>
    <t>Demo is given to customer and approval is provided</t>
  </si>
  <si>
    <t>Rajendra</t>
  </si>
  <si>
    <t>MS</t>
  </si>
  <si>
    <t>Referential Team - Reduce incident for frequently failed job by taking permanent action</t>
  </si>
  <si>
    <t>Solution provided to reduce 2-3 frequent job failure. CVA added in brainbox.</t>
  </si>
  <si>
    <t>Automation of Tech User Login (Other than Mainframe Application)</t>
  </si>
  <si>
    <t>Bank MS</t>
  </si>
  <si>
    <t>Automated Resolution for Mainframe Application Delays and Email Overhead.</t>
  </si>
  <si>
    <t>Solution is approved. It is implemented in GTU and UAT via Service Request in SNOW.</t>
  </si>
  <si>
    <t>Rahul</t>
  </si>
  <si>
    <t>Job changes to avoid unnecessary MEMO email traffic.</t>
  </si>
  <si>
    <t>Discussion happened with SME and changes agreed.
17 jobs are adapted, which will remove 45 emails, including all 3 regions – GTU, UAT, PRD. Currently the changes are promoted in UAT, will go to PRD with R24.1.</t>
  </si>
  <si>
    <t>List is derived for the affected jobs and idea has been approved by the Team/SME – Adapted till UAT. To be adapted in PRD with R24.1.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</si>
</sst>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font>
      <sz val="11"/>
      <color theme="1"/>
      <name val="Calibri"/>
      <family val="2"/>
      <scheme val="minor"/>
    </font>
    <font>
      <sz val="10"/>
      <color theme="0"/>
      <name val="Calibri"/>
      <family val="2"/>
    </font>
    <font>
      <sz val="10"/>
      <color theme="1"/>
      <name val="Calibri"/>
      <family val="2"/>
    </font>
    <font>
      <sz val="11"/>
      <color theme="1"/>
      <name val="Calibri"/>
      <family val="2"/>
    </font>
    <font>
      <sz val="10"/>
      <color rgb="FF000000"/>
      <name val="Calibri"/>
      <family val="2"/>
      <charset val="1"/>
    </font>
    <font>
      <sz val="8.5"/>
      <color rgb="FF000000"/>
      <name val="Verdana"/>
      <family val="2"/>
      <charset val="1"/>
    </font>
    <font>
      <sz val="10"/>
      <color theme="1"/>
      <name val="Calibri"/>
      <family val="2"/>
      <charset val="1"/>
    </font>
    <font>
      <b/>
      <sz val="10"/>
      <color rgb="FF000000"/>
      <name val="Calibri"/>
      <family val="2"/>
    </font>
    <font>
      <sz val="10"/>
      <color rgb="FF000000"/>
      <name val="Calibri"/>
      <family val="2"/>
    </font>
    <font>
      <sz val="11"/>
      <color theme="0"/>
      <name val="Calibri"/>
      <family val="2"/>
    </font>
    <font>
      <strike/>
      <sz val="11"/>
      <color theme="1"/>
      <name val="Calibri"/>
      <family val="2"/>
    </font>
    <font>
      <sz val="11"/>
      <name val="Calibri"/>
      <family val="2"/>
    </font>
    <font>
      <sz val="9"/>
      <color theme="0"/>
      <name val="Calibri"/>
      <family val="2"/>
    </font>
    <font>
      <sz val="9"/>
      <color theme="1"/>
      <name val="Calibri"/>
      <family val="2"/>
    </font>
    <font>
      <b/>
      <sz val="9"/>
      <color theme="1"/>
      <name val="Calibri"/>
      <family val="2"/>
    </font>
    <font>
      <sz val="9"/>
      <color rgb="FF000000"/>
      <name val="Calibri"/>
      <family val="2"/>
    </font>
    <font>
      <b/>
      <sz val="9"/>
      <color rgb="FF000000"/>
      <name val="Calibri"/>
      <family val="2"/>
    </font>
    <font>
      <b/>
      <sz val="9"/>
      <color rgb="FF000000"/>
      <name val="Calibri"/>
    </font>
    <font>
      <sz val="9"/>
      <color rgb="FF000000"/>
      <name val="Calibri"/>
    </font>
    <font>
      <sz val="9"/>
      <color theme="1"/>
      <name val="Calibri"/>
    </font>
    <font>
      <b/>
      <sz val="9"/>
      <color theme="1"/>
      <name val="Calibri"/>
    </font>
  </fonts>
  <fills count="7">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7"/>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06">
    <xf numFmtId="0" fontId="0" fillId="0" borderId="0" xfId="0"/>
    <xf numFmtId="0" fontId="2" fillId="0" borderId="1" xfId="0" applyFont="1" applyBorder="1" applyAlignment="1">
      <alignment wrapText="1"/>
    </xf>
    <xf numFmtId="0" fontId="2" fillId="3" borderId="1" xfId="0" applyFont="1" applyFill="1" applyBorder="1" applyAlignment="1">
      <alignment wrapText="1"/>
    </xf>
    <xf numFmtId="0" fontId="0" fillId="0" borderId="1" xfId="0" applyBorder="1" applyAlignment="1">
      <alignment wrapText="1"/>
    </xf>
    <xf numFmtId="0" fontId="4" fillId="0" borderId="1" xfId="0" applyFont="1" applyBorder="1" applyAlignment="1">
      <alignment wrapText="1"/>
    </xf>
    <xf numFmtId="0" fontId="2" fillId="4" borderId="1" xfId="0" applyFont="1" applyFill="1" applyBorder="1" applyAlignment="1">
      <alignment wrapText="1"/>
    </xf>
    <xf numFmtId="0" fontId="2" fillId="0" borderId="4" xfId="0" applyFont="1" applyBorder="1" applyAlignment="1">
      <alignment wrapText="1"/>
    </xf>
    <xf numFmtId="0" fontId="6" fillId="0" borderId="1" xfId="0" applyFont="1" applyBorder="1" applyAlignment="1">
      <alignment wrapText="1"/>
    </xf>
    <xf numFmtId="0" fontId="1" fillId="2" borderId="1" xfId="0" applyFont="1" applyFill="1" applyBorder="1" applyAlignment="1">
      <alignment wrapText="1"/>
    </xf>
    <xf numFmtId="0" fontId="1" fillId="2" borderId="1" xfId="0" applyFont="1" applyFill="1" applyBorder="1" applyAlignment="1">
      <alignment horizontal="center" wrapText="1"/>
    </xf>
    <xf numFmtId="17" fontId="2" fillId="3" borderId="1" xfId="0" applyNumberFormat="1" applyFont="1" applyFill="1" applyBorder="1" applyAlignment="1">
      <alignment horizontal="center" wrapText="1"/>
    </xf>
    <xf numFmtId="17" fontId="2" fillId="0" borderId="1" xfId="0" applyNumberFormat="1" applyFont="1" applyBorder="1" applyAlignment="1">
      <alignment horizontal="center" wrapText="1"/>
    </xf>
    <xf numFmtId="0" fontId="2" fillId="0" borderId="1" xfId="0" applyFont="1" applyBorder="1" applyAlignment="1">
      <alignment horizontal="center" vertical="center" wrapText="1"/>
    </xf>
    <xf numFmtId="17" fontId="4" fillId="0" borderId="1" xfId="0" applyNumberFormat="1" applyFont="1" applyBorder="1" applyAlignment="1">
      <alignment wrapText="1"/>
    </xf>
    <xf numFmtId="0" fontId="4" fillId="4" borderId="1" xfId="0" applyFont="1" applyFill="1" applyBorder="1" applyAlignment="1">
      <alignment wrapText="1"/>
    </xf>
    <xf numFmtId="0" fontId="5" fillId="0" borderId="1" xfId="0" applyFont="1" applyBorder="1" applyAlignment="1">
      <alignment wrapText="1"/>
    </xf>
    <xf numFmtId="17" fontId="2" fillId="0" borderId="4" xfId="0" applyNumberFormat="1" applyFont="1" applyBorder="1" applyAlignment="1">
      <alignment horizontal="center" wrapText="1"/>
    </xf>
    <xf numFmtId="0" fontId="3" fillId="0" borderId="1" xfId="0" applyFont="1" applyBorder="1" applyAlignment="1">
      <alignment wrapText="1"/>
    </xf>
    <xf numFmtId="0" fontId="2" fillId="3" borderId="2" xfId="0" applyFont="1" applyFill="1" applyBorder="1" applyAlignment="1">
      <alignment wrapText="1"/>
    </xf>
    <xf numFmtId="0" fontId="2" fillId="0" borderId="3" xfId="0" applyFont="1" applyBorder="1" applyAlignment="1">
      <alignment wrapText="1"/>
    </xf>
    <xf numFmtId="0" fontId="2" fillId="0" borderId="2" xfId="0" applyFont="1" applyBorder="1" applyAlignment="1">
      <alignment wrapText="1"/>
    </xf>
    <xf numFmtId="17" fontId="2" fillId="0" borderId="6" xfId="0" applyNumberFormat="1" applyFont="1" applyBorder="1" applyAlignment="1">
      <alignment horizontal="center" wrapText="1"/>
    </xf>
    <xf numFmtId="16" fontId="2" fillId="0" borderId="1" xfId="0" applyNumberFormat="1" applyFont="1" applyBorder="1" applyAlignment="1">
      <alignment horizontal="center" wrapText="1"/>
    </xf>
    <xf numFmtId="0" fontId="2" fillId="0" borderId="3" xfId="0" applyFont="1" applyBorder="1" applyAlignment="1">
      <alignment horizontal="center" wrapText="1"/>
    </xf>
    <xf numFmtId="0" fontId="2" fillId="0" borderId="5" xfId="0" applyFont="1" applyBorder="1" applyAlignment="1">
      <alignment wrapText="1"/>
    </xf>
    <xf numFmtId="0" fontId="2" fillId="0" borderId="1" xfId="0" applyFont="1" applyBorder="1" applyAlignment="1">
      <alignment horizontal="center" wrapText="1"/>
    </xf>
    <xf numFmtId="0" fontId="3" fillId="0" borderId="1" xfId="0" applyFont="1" applyBorder="1" applyAlignment="1">
      <alignment horizontal="center" wrapText="1"/>
    </xf>
    <xf numFmtId="17" fontId="4" fillId="0" borderId="1" xfId="0" applyNumberFormat="1" applyFont="1" applyBorder="1" applyAlignment="1">
      <alignment horizontal="center" wrapText="1"/>
    </xf>
    <xf numFmtId="16" fontId="0" fillId="0" borderId="1" xfId="0" applyNumberFormat="1" applyBorder="1" applyAlignment="1">
      <alignment wrapText="1"/>
    </xf>
    <xf numFmtId="17" fontId="2" fillId="0" borderId="2" xfId="0" applyNumberFormat="1" applyFont="1" applyBorder="1" applyAlignment="1">
      <alignment horizontal="center" wrapText="1"/>
    </xf>
    <xf numFmtId="16" fontId="3" fillId="0" borderId="1" xfId="0" applyNumberFormat="1" applyFont="1" applyBorder="1" applyAlignment="1">
      <alignment horizontal="center" wrapText="1"/>
    </xf>
    <xf numFmtId="0" fontId="4" fillId="0" borderId="0" xfId="0" applyFont="1"/>
    <xf numFmtId="0" fontId="2" fillId="4" borderId="4" xfId="0" applyFont="1" applyFill="1" applyBorder="1" applyAlignment="1">
      <alignment horizontal="left" vertical="top" wrapText="1"/>
    </xf>
    <xf numFmtId="0" fontId="5" fillId="0" borderId="0" xfId="0" applyFont="1" applyAlignment="1">
      <alignment horizontal="center" vertical="center"/>
    </xf>
    <xf numFmtId="0" fontId="3" fillId="0" borderId="1" xfId="0" applyFont="1" applyBorder="1" applyAlignment="1">
      <alignment horizontal="left" wrapText="1"/>
    </xf>
    <xf numFmtId="0" fontId="8" fillId="0" borderId="1" xfId="0" applyFont="1" applyBorder="1" applyAlignment="1">
      <alignment wrapText="1"/>
    </xf>
    <xf numFmtId="0" fontId="6" fillId="0" borderId="1" xfId="0" applyFont="1" applyBorder="1" applyAlignment="1">
      <alignment horizontal="center" wrapText="1"/>
    </xf>
    <xf numFmtId="15" fontId="0" fillId="0" borderId="1" xfId="0" applyNumberFormat="1" applyBorder="1" applyAlignment="1">
      <alignment wrapText="1"/>
    </xf>
    <xf numFmtId="0" fontId="0" fillId="0" borderId="1" xfId="0" applyBorder="1" applyAlignment="1">
      <alignment vertical="center" wrapText="1"/>
    </xf>
    <xf numFmtId="0" fontId="2" fillId="0" borderId="1" xfId="0" applyFont="1" applyBorder="1" applyAlignment="1">
      <alignment vertical="center" wrapText="1"/>
    </xf>
    <xf numFmtId="164" fontId="2" fillId="0" borderId="1" xfId="0" applyNumberFormat="1" applyFont="1" applyBorder="1" applyAlignment="1">
      <alignment horizontal="center" vertical="center" wrapText="1"/>
    </xf>
    <xf numFmtId="0" fontId="2" fillId="0" borderId="5" xfId="0" applyFont="1" applyBorder="1" applyAlignment="1">
      <alignment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7" fontId="2" fillId="0" borderId="1" xfId="0" applyNumberFormat="1" applyFont="1" applyBorder="1" applyAlignment="1">
      <alignment wrapText="1"/>
    </xf>
    <xf numFmtId="0" fontId="0" fillId="0" borderId="3" xfId="0"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vertical="center" wrapText="1"/>
    </xf>
    <xf numFmtId="164" fontId="3" fillId="0" borderId="5" xfId="0" applyNumberFormat="1" applyFont="1" applyBorder="1" applyAlignment="1">
      <alignment horizontal="center" vertical="center" wrapText="1"/>
    </xf>
    <xf numFmtId="0" fontId="0" fillId="0" borderId="5" xfId="0" applyBorder="1" applyAlignment="1">
      <alignment vertical="center" wrapText="1"/>
    </xf>
    <xf numFmtId="0" fontId="9" fillId="2" borderId="7" xfId="0" applyFont="1" applyFill="1" applyBorder="1" applyAlignment="1">
      <alignment horizontal="center" vertical="center" wrapText="1"/>
    </xf>
    <xf numFmtId="0" fontId="1" fillId="2" borderId="7" xfId="0" applyFont="1" applyFill="1" applyBorder="1" applyAlignment="1">
      <alignment vertical="center" wrapText="1"/>
    </xf>
    <xf numFmtId="164" fontId="1" fillId="2" borderId="7"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7" xfId="0" applyBorder="1" applyAlignment="1">
      <alignment vertical="center" wrapText="1"/>
    </xf>
    <xf numFmtId="0" fontId="2" fillId="3" borderId="7" xfId="0" applyFont="1" applyFill="1" applyBorder="1" applyAlignment="1">
      <alignment horizontal="center" vertical="center" wrapText="1"/>
    </xf>
    <xf numFmtId="0" fontId="2" fillId="0" borderId="7" xfId="0" applyFont="1" applyBorder="1" applyAlignment="1">
      <alignment vertical="center" wrapText="1"/>
    </xf>
    <xf numFmtId="164" fontId="2" fillId="0" borderId="7"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5" fillId="0" borderId="7" xfId="0" applyFont="1" applyBorder="1" applyAlignment="1">
      <alignment horizontal="center" vertical="center"/>
    </xf>
    <xf numFmtId="17" fontId="2" fillId="0" borderId="7" xfId="0" applyNumberFormat="1" applyFont="1" applyBorder="1" applyAlignment="1">
      <alignment vertical="center" wrapText="1"/>
    </xf>
    <xf numFmtId="0" fontId="0" fillId="5" borderId="7" xfId="0" applyFill="1" applyBorder="1" applyAlignment="1">
      <alignment vertical="center" wrapText="1"/>
    </xf>
    <xf numFmtId="0" fontId="3" fillId="3" borderId="7" xfId="0" applyFont="1" applyFill="1" applyBorder="1" applyAlignment="1">
      <alignment horizontal="center" vertical="center" wrapText="1"/>
    </xf>
    <xf numFmtId="0" fontId="0" fillId="0" borderId="7" xfId="0" applyBorder="1"/>
    <xf numFmtId="0" fontId="4" fillId="0" borderId="7" xfId="0" applyFont="1" applyBorder="1" applyAlignment="1">
      <alignment vertical="center" wrapText="1"/>
    </xf>
    <xf numFmtId="0" fontId="3" fillId="0" borderId="7" xfId="0" applyFont="1" applyBorder="1" applyAlignment="1">
      <alignment vertical="center" wrapText="1"/>
    </xf>
    <xf numFmtId="164" fontId="3" fillId="0" borderId="7" xfId="0" applyNumberFormat="1" applyFont="1" applyBorder="1" applyAlignment="1">
      <alignment horizontal="center" vertical="center" wrapText="1"/>
    </xf>
    <xf numFmtId="0" fontId="6" fillId="0" borderId="7" xfId="0" applyFont="1" applyBorder="1" applyAlignment="1">
      <alignment vertical="center" wrapText="1"/>
    </xf>
    <xf numFmtId="0" fontId="6" fillId="0" borderId="7" xfId="0" applyFont="1" applyBorder="1" applyAlignment="1">
      <alignment horizontal="center" vertical="center" wrapText="1"/>
    </xf>
    <xf numFmtId="0" fontId="2" fillId="3" borderId="7" xfId="0" applyFont="1" applyFill="1" applyBorder="1" applyAlignment="1">
      <alignment vertical="center" wrapText="1"/>
    </xf>
    <xf numFmtId="0" fontId="4" fillId="0" borderId="7" xfId="0" applyFont="1" applyBorder="1" applyAlignment="1">
      <alignment vertical="center"/>
    </xf>
    <xf numFmtId="15" fontId="0" fillId="0" borderId="7" xfId="0" applyNumberFormat="1" applyBorder="1" applyAlignment="1">
      <alignment vertical="center" wrapText="1"/>
    </xf>
    <xf numFmtId="0" fontId="3" fillId="0" borderId="7" xfId="0" applyFont="1" applyBorder="1" applyAlignment="1">
      <alignment horizontal="center" vertical="center" wrapText="1"/>
    </xf>
    <xf numFmtId="17" fontId="0" fillId="0" borderId="7" xfId="0" applyNumberFormat="1" applyBorder="1" applyAlignment="1">
      <alignment vertical="center" wrapText="1"/>
    </xf>
    <xf numFmtId="0" fontId="8" fillId="0" borderId="7" xfId="0" applyFont="1" applyBorder="1" applyAlignment="1">
      <alignment vertical="center" wrapText="1"/>
    </xf>
    <xf numFmtId="0" fontId="11" fillId="3" borderId="7" xfId="0" applyFont="1" applyFill="1" applyBorder="1" applyAlignment="1">
      <alignment horizontal="center" vertical="center" wrapText="1"/>
    </xf>
    <xf numFmtId="0" fontId="2" fillId="4" borderId="7" xfId="0" applyFont="1" applyFill="1" applyBorder="1" applyAlignment="1">
      <alignment vertical="center" wrapText="1"/>
    </xf>
    <xf numFmtId="0" fontId="0" fillId="0" borderId="7" xfId="0" applyBorder="1" applyAlignment="1">
      <alignment horizontal="center"/>
    </xf>
    <xf numFmtId="0" fontId="12" fillId="2" borderId="9" xfId="0" applyFont="1" applyFill="1" applyBorder="1" applyAlignment="1">
      <alignment horizontal="center" vertical="center" wrapText="1"/>
    </xf>
    <xf numFmtId="0" fontId="12" fillId="2" borderId="8" xfId="0" applyFont="1" applyFill="1" applyBorder="1" applyAlignment="1">
      <alignment horizontal="center" vertical="center" wrapText="1"/>
    </xf>
    <xf numFmtId="164" fontId="12" fillId="2" borderId="8"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3" fillId="0" borderId="10"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7" xfId="0" applyFont="1" applyBorder="1" applyAlignment="1">
      <alignment vertical="center" wrapText="1"/>
    </xf>
    <xf numFmtId="164" fontId="13" fillId="0" borderId="7" xfId="0" applyNumberFormat="1" applyFont="1" applyBorder="1" applyAlignment="1">
      <alignment horizontal="center" vertical="center" wrapText="1"/>
    </xf>
    <xf numFmtId="0" fontId="14" fillId="6" borderId="7" xfId="0" applyFont="1" applyFill="1" applyBorder="1" applyAlignment="1">
      <alignment horizontal="center" vertical="center" wrapText="1"/>
    </xf>
    <xf numFmtId="0" fontId="13" fillId="0" borderId="8" xfId="0" applyFont="1" applyBorder="1" applyAlignment="1">
      <alignment vertical="center" wrapText="1"/>
    </xf>
    <xf numFmtId="0" fontId="13" fillId="0" borderId="0" xfId="0" applyFont="1" applyAlignment="1">
      <alignment vertical="center" wrapText="1"/>
    </xf>
    <xf numFmtId="14" fontId="13" fillId="0" borderId="7" xfId="0" applyNumberFormat="1" applyFont="1" applyBorder="1" applyAlignment="1">
      <alignment horizontal="center" vertical="center" wrapText="1"/>
    </xf>
    <xf numFmtId="0" fontId="16" fillId="0" borderId="7" xfId="0" applyFont="1" applyBorder="1" applyAlignment="1">
      <alignment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2" xfId="0" applyFont="1" applyBorder="1" applyAlignment="1">
      <alignment vertical="center" wrapText="1"/>
    </xf>
    <xf numFmtId="164" fontId="13" fillId="0" borderId="12" xfId="0" applyNumberFormat="1" applyFont="1" applyBorder="1" applyAlignment="1">
      <alignment horizontal="center" vertical="center" wrapText="1"/>
    </xf>
    <xf numFmtId="164" fontId="13" fillId="0" borderId="0" xfId="0" applyNumberFormat="1" applyFont="1" applyAlignment="1">
      <alignment horizontal="center" vertical="center" wrapText="1"/>
    </xf>
    <xf numFmtId="17" fontId="0" fillId="0" borderId="5" xfId="0" applyNumberFormat="1" applyBorder="1" applyAlignment="1">
      <alignment vertical="center" wrapText="1"/>
    </xf>
    <xf numFmtId="0" fontId="14" fillId="0" borderId="7" xfId="0" applyFont="1" applyBorder="1" applyAlignment="1">
      <alignment horizontal="center" vertical="center" wrapText="1"/>
    </xf>
    <xf numFmtId="0" fontId="18" fillId="0" borderId="7" xfId="0" applyFont="1" applyBorder="1" applyAlignment="1">
      <alignment vertical="center" wrapText="1"/>
    </xf>
    <xf numFmtId="0" fontId="17" fillId="0" borderId="7" xfId="0" applyFont="1" applyBorder="1" applyAlignment="1">
      <alignment vertical="center" wrapText="1"/>
    </xf>
    <xf numFmtId="0" fontId="14" fillId="4" borderId="7" xfId="0" applyFont="1" applyFill="1" applyBorder="1" applyAlignment="1">
      <alignment horizontal="center" vertical="center" wrapText="1"/>
    </xf>
    <xf numFmtId="0" fontId="19" fillId="0" borderId="7" xfId="0" applyFont="1" applyBorder="1" applyAlignment="1">
      <alignment horizontal="center" vertical="center" wrapText="1"/>
    </xf>
    <xf numFmtId="0" fontId="19" fillId="0" borderId="7" xfId="0" applyFont="1" applyBorder="1" applyAlignment="1">
      <alignment vertical="center" wrapText="1"/>
    </xf>
    <xf numFmtId="164" fontId="19" fillId="0" borderId="7" xfId="0" applyNumberFormat="1" applyFont="1" applyBorder="1" applyAlignment="1">
      <alignment horizontal="center" vertical="center" wrapText="1"/>
    </xf>
    <xf numFmtId="0" fontId="20" fillId="6" borderId="7" xfId="0" applyFont="1" applyFill="1" applyBorder="1" applyAlignment="1">
      <alignment horizontal="center" vertical="center" wrapText="1"/>
    </xf>
  </cellXfs>
  <cellStyles count="1">
    <cellStyle name="Normal" xfId="0" builtinId="0"/>
  </cellStyles>
  <dxfs count="18">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numFmt numFmtId="164" formatCode="[$-F800]dddd\,\ mmmm\ dd\,\ 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0"/>
        <name val="Calibri"/>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DA949-AAE0-46B5-8D4B-4D222D0B5E96}" name="Table1" displayName="Table1" ref="A1:M27" totalsRowShown="0" headerRowDxfId="17" dataDxfId="16" headerRowBorderDxfId="14" tableBorderDxfId="15" totalsRowBorderDxfId="13">
  <autoFilter ref="A1:M27" xr:uid="{241DA949-AAE0-46B5-8D4B-4D222D0B5E96}"/>
  <tableColumns count="13">
    <tableColumn id="1" xr3:uid="{CED622A6-19F1-40B6-A8B0-613BB05B9195}" name="#" dataDxfId="12"/>
    <tableColumn id="2" xr3:uid="{17FF3084-5538-4AE7-8AE4-AD6016AA4212}" name="Team / Project ID" dataDxfId="11"/>
    <tableColumn id="3" xr3:uid="{2B2A741C-9AF9-49C0-981A-A67C1E459395}" name="Brainbox ID" dataDxfId="10"/>
    <tableColumn id="4" xr3:uid="{49DA3878-AB10-4D09-9CE9-E05B28C035B0}" name="VAID" dataDxfId="9"/>
    <tableColumn id="5" xr3:uid="{60AF4A8F-7F89-448F-900E-BC7925C98A58}" name="Brainbox Status" dataDxfId="8"/>
    <tableColumn id="6" xr3:uid="{0566ECAE-AE2E-4A82-9238-6CD6BF1481F1}" name="Idea" dataDxfId="7"/>
    <tableColumn id="7" xr3:uid="{9F2BB27B-B9DA-420D-8FA9-E2A8CC5A0B66}" name="Date Raised" dataDxfId="6"/>
    <tableColumn id="8" xr3:uid="{538843F3-AD5F-4297-9B65-31DBF6DC120F}" name="Implmentation Status" dataDxfId="5"/>
    <tableColumn id="9" xr3:uid="{1C6CA91E-4515-473C-95C1-9C8A4727B49E}" name="Detailed Status" dataDxfId="4"/>
    <tableColumn id="10" xr3:uid="{76E65573-C8EE-46DA-B416-FCE54FE3C650}" name="Lead" dataDxfId="3"/>
    <tableColumn id="11" xr3:uid="{3FB643D3-7262-4198-9FA8-E0126A5F7523}" name="Expected  Date" dataDxfId="2"/>
    <tableColumn id="12" xr3:uid="{4F2A98C1-B31D-432E-8B69-F34ED81F4BCD}" name="ESR-Month" dataDxfId="1"/>
    <tableColumn id="14" xr3:uid="{2FEC045E-BB81-4699-8FD4-3BA129C1BC91}" name="Remarks"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D035-C897-45B4-BC0F-354DAB2B584D}">
  <dimension ref="A1:M27"/>
  <sheetViews>
    <sheetView showGridLines="0" tabSelected="1" zoomScale="90" zoomScaleNormal="90" workbookViewId="0">
      <pane ySplit="1" topLeftCell="A2" activePane="bottomLeft" state="frozen"/>
      <selection pane="bottomLeft" activeCell="C2" sqref="C2"/>
      <extLst>
        <ext xmlns:xlsdti="http://schemas.microsoft.com/office/spreadsheetml/2023/showDataTypeIcons" uri="{77bfe23e-c014-4d31-8a63-9c772dbf06b6}">
          <xlsdti:showDataTypeIcons visible="0"/>
        </ext>
      </extLst>
    </sheetView>
  </sheetViews>
  <sheetFormatPr defaultColWidth="9.28515625" defaultRowHeight="12"/>
  <cols>
    <col min="1" max="1" width="3.7109375" style="82" customWidth="1"/>
    <col min="2" max="2" width="9.85546875" style="82" bestFit="1" customWidth="1"/>
    <col min="3" max="3" width="12.5703125" style="82" customWidth="1"/>
    <col min="4" max="4" width="8.28515625" style="82" customWidth="1"/>
    <col min="5" max="5" width="14.28515625" style="89" customWidth="1"/>
    <col min="6" max="6" width="52.7109375" style="89" customWidth="1"/>
    <col min="7" max="7" width="12.42578125" style="96" customWidth="1"/>
    <col min="8" max="8" width="11.7109375" style="82" customWidth="1"/>
    <col min="9" max="9" width="24.28515625" style="89" customWidth="1"/>
    <col min="10" max="10" width="15.5703125" style="89" customWidth="1"/>
    <col min="11" max="11" width="14.7109375" style="89" customWidth="1"/>
    <col min="12" max="12" width="11.28515625" style="82" customWidth="1"/>
    <col min="13" max="13" width="17.28515625" style="89" customWidth="1"/>
    <col min="14" max="16384" width="9.28515625" style="89"/>
  </cols>
  <sheetData>
    <row r="1" spans="1:13" s="82" customFormat="1" ht="24.75">
      <c r="A1" s="79" t="s">
        <v>0</v>
      </c>
      <c r="B1" s="80" t="s">
        <v>1</v>
      </c>
      <c r="C1" s="80" t="s">
        <v>2</v>
      </c>
      <c r="D1" s="80" t="s">
        <v>3</v>
      </c>
      <c r="E1" s="80" t="s">
        <v>4</v>
      </c>
      <c r="F1" s="80" t="s">
        <v>5</v>
      </c>
      <c r="G1" s="81" t="s">
        <v>6</v>
      </c>
      <c r="H1" s="80" t="s">
        <v>7</v>
      </c>
      <c r="I1" s="80" t="s">
        <v>8</v>
      </c>
      <c r="J1" s="80" t="s">
        <v>9</v>
      </c>
      <c r="K1" s="80" t="s">
        <v>10</v>
      </c>
      <c r="L1" s="80" t="s">
        <v>11</v>
      </c>
      <c r="M1" s="80" t="s">
        <v>12</v>
      </c>
    </row>
    <row r="2" spans="1:13" ht="37.5">
      <c r="A2" s="83">
        <v>1</v>
      </c>
      <c r="B2" s="84" t="s">
        <v>13</v>
      </c>
      <c r="C2" s="84"/>
      <c r="D2" s="84">
        <v>28365</v>
      </c>
      <c r="E2" s="98" t="s">
        <v>14</v>
      </c>
      <c r="F2" s="99" t="s">
        <v>15</v>
      </c>
      <c r="G2" s="86" t="s">
        <v>16</v>
      </c>
      <c r="H2" s="87" t="s">
        <v>17</v>
      </c>
      <c r="I2" s="85" t="s">
        <v>18</v>
      </c>
      <c r="J2" s="85" t="s">
        <v>19</v>
      </c>
      <c r="K2" s="84" t="s">
        <v>20</v>
      </c>
      <c r="L2" s="84" t="s">
        <v>21</v>
      </c>
      <c r="M2" s="88"/>
    </row>
    <row r="3" spans="1:13" ht="34.5" customHeight="1">
      <c r="A3" s="83">
        <v>2</v>
      </c>
      <c r="B3" s="84" t="s">
        <v>13</v>
      </c>
      <c r="C3" s="84"/>
      <c r="D3" s="84"/>
      <c r="E3" s="85"/>
      <c r="F3" s="99" t="s">
        <v>22</v>
      </c>
      <c r="G3" s="86" t="s">
        <v>16</v>
      </c>
      <c r="H3" s="87" t="s">
        <v>17</v>
      </c>
      <c r="I3" s="85" t="s">
        <v>23</v>
      </c>
      <c r="J3" s="85" t="s">
        <v>19</v>
      </c>
      <c r="K3" s="84" t="s">
        <v>20</v>
      </c>
      <c r="L3" s="84" t="s">
        <v>21</v>
      </c>
      <c r="M3" s="85"/>
    </row>
    <row r="4" spans="1:13" ht="46.15" customHeight="1">
      <c r="A4" s="83">
        <v>3</v>
      </c>
      <c r="B4" s="84" t="s">
        <v>13</v>
      </c>
      <c r="C4" s="84">
        <v>101958</v>
      </c>
      <c r="D4" s="84">
        <v>28134</v>
      </c>
      <c r="E4" s="101" t="s">
        <v>17</v>
      </c>
      <c r="F4" s="99" t="s">
        <v>24</v>
      </c>
      <c r="G4" s="86" t="s">
        <v>25</v>
      </c>
      <c r="H4" s="87" t="s">
        <v>17</v>
      </c>
      <c r="I4" s="85" t="s">
        <v>26</v>
      </c>
      <c r="J4" s="85" t="s">
        <v>19</v>
      </c>
      <c r="K4" s="90" t="s">
        <v>27</v>
      </c>
      <c r="L4" s="90" t="s">
        <v>28</v>
      </c>
      <c r="M4" s="85"/>
    </row>
    <row r="5" spans="1:13" ht="37.5">
      <c r="A5" s="83">
        <v>4</v>
      </c>
      <c r="B5" s="84" t="s">
        <v>13</v>
      </c>
      <c r="C5" s="84"/>
      <c r="D5" s="84">
        <v>28138</v>
      </c>
      <c r="E5" s="98" t="s">
        <v>14</v>
      </c>
      <c r="F5" s="100" t="s">
        <v>29</v>
      </c>
      <c r="G5" s="86" t="s">
        <v>30</v>
      </c>
      <c r="H5" s="87" t="s">
        <v>17</v>
      </c>
      <c r="I5" s="85" t="s">
        <v>31</v>
      </c>
      <c r="J5" s="85" t="s">
        <v>19</v>
      </c>
      <c r="K5" s="90" t="s">
        <v>28</v>
      </c>
      <c r="L5" s="90" t="s">
        <v>32</v>
      </c>
      <c r="M5" s="85"/>
    </row>
    <row r="6" spans="1:13" ht="50.65" customHeight="1">
      <c r="A6" s="83">
        <v>5</v>
      </c>
      <c r="B6" s="84" t="s">
        <v>13</v>
      </c>
      <c r="C6" s="84">
        <v>101959</v>
      </c>
      <c r="D6" s="84">
        <v>28135</v>
      </c>
      <c r="E6" s="101" t="s">
        <v>17</v>
      </c>
      <c r="F6" s="91" t="s">
        <v>33</v>
      </c>
      <c r="G6" s="86" t="s">
        <v>25</v>
      </c>
      <c r="H6" s="87" t="s">
        <v>17</v>
      </c>
      <c r="I6" s="85" t="s">
        <v>34</v>
      </c>
      <c r="J6" s="85" t="s">
        <v>19</v>
      </c>
      <c r="K6" s="90" t="s">
        <v>27</v>
      </c>
      <c r="L6" s="90" t="s">
        <v>35</v>
      </c>
      <c r="M6" s="85"/>
    </row>
    <row r="7" spans="1:13" ht="50.65" customHeight="1">
      <c r="A7" s="83">
        <v>6</v>
      </c>
      <c r="B7" s="84" t="s">
        <v>13</v>
      </c>
      <c r="C7" s="102"/>
      <c r="D7" s="102">
        <v>28366</v>
      </c>
      <c r="E7" s="98" t="s">
        <v>14</v>
      </c>
      <c r="F7" s="99" t="s">
        <v>36</v>
      </c>
      <c r="G7" s="104" t="s">
        <v>37</v>
      </c>
      <c r="H7" s="87" t="s">
        <v>17</v>
      </c>
      <c r="I7" s="85" t="s">
        <v>38</v>
      </c>
      <c r="J7" s="85" t="s">
        <v>19</v>
      </c>
      <c r="K7" s="84" t="s">
        <v>20</v>
      </c>
      <c r="L7" s="84" t="s">
        <v>21</v>
      </c>
      <c r="M7" s="103"/>
    </row>
    <row r="8" spans="1:13" ht="48">
      <c r="A8" s="83">
        <v>7</v>
      </c>
      <c r="B8" s="84" t="s">
        <v>39</v>
      </c>
      <c r="C8" s="84">
        <v>27422</v>
      </c>
      <c r="D8" s="84"/>
      <c r="E8" s="85" t="s">
        <v>40</v>
      </c>
      <c r="F8" s="85" t="s">
        <v>41</v>
      </c>
      <c r="G8" s="86" t="s">
        <v>42</v>
      </c>
      <c r="H8" s="84" t="s">
        <v>43</v>
      </c>
      <c r="I8" s="85" t="s">
        <v>44</v>
      </c>
      <c r="J8" s="85" t="s">
        <v>45</v>
      </c>
      <c r="K8" s="85" t="s">
        <v>46</v>
      </c>
      <c r="L8" s="84" t="s">
        <v>21</v>
      </c>
      <c r="M8" s="85"/>
    </row>
    <row r="9" spans="1:13" ht="24">
      <c r="A9" s="83">
        <v>8</v>
      </c>
      <c r="B9" s="84" t="s">
        <v>39</v>
      </c>
      <c r="C9" s="84">
        <v>27422</v>
      </c>
      <c r="D9" s="84"/>
      <c r="E9" s="85"/>
      <c r="F9" s="85" t="s">
        <v>47</v>
      </c>
      <c r="G9" s="86"/>
      <c r="H9" s="84" t="s">
        <v>43</v>
      </c>
      <c r="I9" s="85" t="s">
        <v>48</v>
      </c>
      <c r="J9" s="85" t="s">
        <v>45</v>
      </c>
      <c r="K9" s="85"/>
      <c r="L9" s="84"/>
      <c r="M9" s="85"/>
    </row>
    <row r="10" spans="1:13" ht="48">
      <c r="A10" s="83">
        <v>9</v>
      </c>
      <c r="B10" s="84" t="s">
        <v>13</v>
      </c>
      <c r="C10" s="84"/>
      <c r="D10" s="84"/>
      <c r="E10" s="85"/>
      <c r="F10" s="85" t="s">
        <v>49</v>
      </c>
      <c r="G10" s="86" t="s">
        <v>50</v>
      </c>
      <c r="H10" s="84" t="s">
        <v>43</v>
      </c>
      <c r="I10" s="85"/>
      <c r="J10" s="85" t="s">
        <v>19</v>
      </c>
      <c r="K10" s="90" t="s">
        <v>51</v>
      </c>
      <c r="L10" s="84"/>
      <c r="M10" s="85"/>
    </row>
    <row r="11" spans="1:13" ht="24.75">
      <c r="A11" s="83">
        <v>10</v>
      </c>
      <c r="B11" s="84" t="s">
        <v>52</v>
      </c>
      <c r="C11" s="84"/>
      <c r="D11" s="84">
        <v>28137</v>
      </c>
      <c r="E11" s="101" t="s">
        <v>17</v>
      </c>
      <c r="F11" s="85" t="s">
        <v>53</v>
      </c>
      <c r="G11" s="86" t="s">
        <v>54</v>
      </c>
      <c r="H11" s="105" t="s">
        <v>17</v>
      </c>
      <c r="I11" s="85" t="s">
        <v>26</v>
      </c>
      <c r="J11" s="85" t="s">
        <v>55</v>
      </c>
      <c r="K11" s="85" t="s">
        <v>27</v>
      </c>
      <c r="L11" s="84"/>
      <c r="M11" s="85"/>
    </row>
    <row r="12" spans="1:13" ht="24.75">
      <c r="A12" s="83">
        <v>11</v>
      </c>
      <c r="B12" s="84" t="s">
        <v>52</v>
      </c>
      <c r="C12" s="84"/>
      <c r="D12" s="84"/>
      <c r="E12" s="85"/>
      <c r="F12" s="85" t="s">
        <v>56</v>
      </c>
      <c r="G12" s="86" t="s">
        <v>54</v>
      </c>
      <c r="H12" s="84" t="s">
        <v>43</v>
      </c>
      <c r="I12" s="85" t="s">
        <v>57</v>
      </c>
      <c r="J12" s="85" t="s">
        <v>55</v>
      </c>
      <c r="K12" s="85" t="s">
        <v>58</v>
      </c>
      <c r="L12" s="84" t="s">
        <v>21</v>
      </c>
      <c r="M12" s="85"/>
    </row>
    <row r="13" spans="1:13">
      <c r="A13" s="83"/>
      <c r="B13" s="84"/>
      <c r="C13" s="84"/>
      <c r="D13" s="84"/>
      <c r="E13" s="85"/>
      <c r="F13" s="85"/>
      <c r="G13" s="86"/>
      <c r="H13" s="84"/>
      <c r="I13" s="85"/>
      <c r="J13" s="85"/>
      <c r="K13" s="85"/>
      <c r="L13" s="84"/>
      <c r="M13" s="85"/>
    </row>
    <row r="14" spans="1:13">
      <c r="A14" s="83"/>
      <c r="B14" s="84"/>
      <c r="C14" s="84"/>
      <c r="D14" s="84"/>
      <c r="E14" s="85"/>
      <c r="F14" s="85"/>
      <c r="G14" s="86"/>
      <c r="H14" s="84"/>
      <c r="I14" s="85"/>
      <c r="J14" s="85"/>
      <c r="K14" s="85"/>
      <c r="L14" s="84"/>
      <c r="M14" s="85"/>
    </row>
    <row r="15" spans="1:13">
      <c r="A15" s="83"/>
      <c r="B15" s="84"/>
      <c r="C15" s="84"/>
      <c r="D15" s="84"/>
      <c r="E15" s="85"/>
      <c r="F15" s="85"/>
      <c r="G15" s="86"/>
      <c r="H15" s="84"/>
      <c r="I15" s="85"/>
      <c r="J15" s="85"/>
      <c r="K15" s="85"/>
      <c r="L15" s="84"/>
      <c r="M15" s="85"/>
    </row>
    <row r="16" spans="1:13">
      <c r="A16" s="83"/>
      <c r="B16" s="84"/>
      <c r="C16" s="84"/>
      <c r="D16" s="84"/>
      <c r="E16" s="85"/>
      <c r="F16" s="85"/>
      <c r="G16" s="86"/>
      <c r="H16" s="84"/>
      <c r="I16" s="85"/>
      <c r="J16" s="85"/>
      <c r="K16" s="85"/>
      <c r="L16" s="84"/>
      <c r="M16" s="85"/>
    </row>
    <row r="17" spans="1:13">
      <c r="A17" s="83"/>
      <c r="B17" s="84"/>
      <c r="C17" s="84"/>
      <c r="D17" s="84"/>
      <c r="E17" s="85"/>
      <c r="F17" s="85"/>
      <c r="G17" s="86"/>
      <c r="H17" s="84"/>
      <c r="I17" s="85"/>
      <c r="J17" s="85"/>
      <c r="K17" s="85"/>
      <c r="L17" s="84"/>
      <c r="M17" s="85"/>
    </row>
    <row r="18" spans="1:13">
      <c r="A18" s="83"/>
      <c r="B18" s="84"/>
      <c r="C18" s="84"/>
      <c r="D18" s="84"/>
      <c r="E18" s="85"/>
      <c r="F18" s="85"/>
      <c r="G18" s="86"/>
      <c r="H18" s="84"/>
      <c r="I18" s="85"/>
      <c r="J18" s="85"/>
      <c r="K18" s="85"/>
      <c r="L18" s="84"/>
      <c r="M18" s="85"/>
    </row>
    <row r="19" spans="1:13">
      <c r="A19" s="83"/>
      <c r="B19" s="84"/>
      <c r="C19" s="84"/>
      <c r="D19" s="84"/>
      <c r="E19" s="85"/>
      <c r="F19" s="85"/>
      <c r="G19" s="86"/>
      <c r="H19" s="84"/>
      <c r="I19" s="85"/>
      <c r="J19" s="85"/>
      <c r="K19" s="85"/>
      <c r="L19" s="84"/>
      <c r="M19" s="85"/>
    </row>
    <row r="20" spans="1:13">
      <c r="A20" s="83"/>
      <c r="B20" s="84"/>
      <c r="C20" s="84"/>
      <c r="D20" s="84"/>
      <c r="E20" s="85"/>
      <c r="F20" s="85"/>
      <c r="G20" s="86"/>
      <c r="H20" s="84"/>
      <c r="I20" s="85"/>
      <c r="J20" s="85"/>
      <c r="K20" s="85"/>
      <c r="L20" s="84"/>
      <c r="M20" s="85"/>
    </row>
    <row r="21" spans="1:13">
      <c r="A21" s="83"/>
      <c r="B21" s="84"/>
      <c r="C21" s="84"/>
      <c r="D21" s="84"/>
      <c r="E21" s="85"/>
      <c r="F21" s="85"/>
      <c r="G21" s="86"/>
      <c r="H21" s="84"/>
      <c r="I21" s="85"/>
      <c r="J21" s="85"/>
      <c r="K21" s="85"/>
      <c r="L21" s="84"/>
      <c r="M21" s="85"/>
    </row>
    <row r="22" spans="1:13">
      <c r="A22" s="83"/>
      <c r="B22" s="84"/>
      <c r="C22" s="84"/>
      <c r="D22" s="84"/>
      <c r="E22" s="85"/>
      <c r="F22" s="85"/>
      <c r="G22" s="86"/>
      <c r="H22" s="84"/>
      <c r="I22" s="85"/>
      <c r="J22" s="85"/>
      <c r="K22" s="85"/>
      <c r="L22" s="84"/>
      <c r="M22" s="85"/>
    </row>
    <row r="23" spans="1:13">
      <c r="A23" s="83"/>
      <c r="B23" s="84"/>
      <c r="C23" s="84"/>
      <c r="D23" s="84"/>
      <c r="E23" s="85"/>
      <c r="F23" s="85"/>
      <c r="G23" s="86"/>
      <c r="H23" s="84"/>
      <c r="I23" s="85"/>
      <c r="J23" s="85"/>
      <c r="K23" s="85"/>
      <c r="L23" s="84"/>
      <c r="M23" s="85"/>
    </row>
    <row r="24" spans="1:13">
      <c r="A24" s="83"/>
      <c r="B24" s="84"/>
      <c r="C24" s="84"/>
      <c r="D24" s="84"/>
      <c r="E24" s="85"/>
      <c r="F24" s="85"/>
      <c r="G24" s="86"/>
      <c r="H24" s="84"/>
      <c r="I24" s="85"/>
      <c r="J24" s="85"/>
      <c r="K24" s="85"/>
      <c r="L24" s="84"/>
      <c r="M24" s="85"/>
    </row>
    <row r="25" spans="1:13">
      <c r="A25" s="83"/>
      <c r="B25" s="84"/>
      <c r="C25" s="84"/>
      <c r="D25" s="84"/>
      <c r="E25" s="85"/>
      <c r="F25" s="85"/>
      <c r="G25" s="86"/>
      <c r="H25" s="84"/>
      <c r="I25" s="85"/>
      <c r="J25" s="85"/>
      <c r="K25" s="85"/>
      <c r="L25" s="84"/>
      <c r="M25" s="85"/>
    </row>
    <row r="26" spans="1:13">
      <c r="A26" s="83"/>
      <c r="B26" s="84"/>
      <c r="C26" s="84"/>
      <c r="D26" s="84"/>
      <c r="E26" s="85"/>
      <c r="F26" s="85"/>
      <c r="G26" s="86"/>
      <c r="H26" s="84"/>
      <c r="I26" s="85"/>
      <c r="J26" s="85"/>
      <c r="K26" s="85"/>
      <c r="L26" s="84"/>
      <c r="M26" s="85"/>
    </row>
    <row r="27" spans="1:13">
      <c r="A27" s="92"/>
      <c r="B27" s="93"/>
      <c r="C27" s="93"/>
      <c r="D27" s="93"/>
      <c r="E27" s="94"/>
      <c r="F27" s="94"/>
      <c r="G27" s="95"/>
      <c r="H27" s="93"/>
      <c r="I27" s="94"/>
      <c r="J27" s="94"/>
      <c r="K27" s="94"/>
      <c r="L27" s="93"/>
      <c r="M27" s="94"/>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26042-9F81-42AA-A1E1-C65D2CF619DD}">
  <dimension ref="A1:M25"/>
  <sheetViews>
    <sheetView workbookViewId="0">
      <pane ySplit="1" topLeftCell="A6" activePane="bottomLeft" state="frozen"/>
      <selection pane="bottomLeft" activeCell="C3" sqref="C3"/>
    </sheetView>
  </sheetViews>
  <sheetFormatPr defaultColWidth="9.28515625" defaultRowHeight="15"/>
  <cols>
    <col min="1" max="1" width="6.7109375" style="44" bestFit="1" customWidth="1"/>
    <col min="2" max="2" width="18.42578125" style="42" customWidth="1"/>
    <col min="3" max="3" width="46.5703125" style="42" customWidth="1"/>
    <col min="4" max="4" width="22.7109375" style="43" customWidth="1"/>
    <col min="5" max="5" width="14.5703125" style="44" customWidth="1"/>
    <col min="6" max="6" width="24.28515625" style="42" customWidth="1"/>
    <col min="7" max="7" width="15" style="42" bestFit="1" customWidth="1"/>
    <col min="8" max="9" width="15.42578125" style="44" customWidth="1"/>
    <col min="10" max="10" width="18.7109375" style="42" customWidth="1"/>
    <col min="11" max="11" width="19.42578125" style="38" bestFit="1" customWidth="1"/>
    <col min="12" max="12" width="8.28515625" style="38" bestFit="1" customWidth="1"/>
    <col min="13" max="13" width="15.5703125" style="38" customWidth="1"/>
    <col min="14" max="16384" width="9.28515625" style="38"/>
  </cols>
  <sheetData>
    <row r="1" spans="1:13" ht="30">
      <c r="A1" s="51" t="s">
        <v>59</v>
      </c>
      <c r="B1" s="52" t="s">
        <v>60</v>
      </c>
      <c r="C1" s="52" t="s">
        <v>5</v>
      </c>
      <c r="D1" s="53" t="s">
        <v>6</v>
      </c>
      <c r="E1" s="54" t="s">
        <v>61</v>
      </c>
      <c r="F1" s="52" t="s">
        <v>8</v>
      </c>
      <c r="G1" s="52" t="s">
        <v>9</v>
      </c>
      <c r="H1" s="54" t="s">
        <v>2</v>
      </c>
      <c r="I1" s="54" t="s">
        <v>3</v>
      </c>
      <c r="J1" s="52" t="s">
        <v>4</v>
      </c>
      <c r="K1" s="55" t="s">
        <v>10</v>
      </c>
      <c r="L1" s="55" t="s">
        <v>62</v>
      </c>
      <c r="M1" s="46"/>
    </row>
    <row r="2" spans="1:13" ht="37.5" customHeight="1">
      <c r="A2" s="56">
        <v>1</v>
      </c>
      <c r="B2" s="57" t="s">
        <v>63</v>
      </c>
      <c r="C2" s="57" t="s">
        <v>64</v>
      </c>
      <c r="D2" s="58" t="s">
        <v>65</v>
      </c>
      <c r="E2" s="73" t="s">
        <v>66</v>
      </c>
      <c r="F2" s="57" t="s">
        <v>17</v>
      </c>
      <c r="G2" s="57" t="s">
        <v>67</v>
      </c>
      <c r="H2" s="60">
        <v>25945</v>
      </c>
      <c r="I2" s="60"/>
      <c r="J2" s="77" t="s">
        <v>66</v>
      </c>
      <c r="K2" s="61"/>
      <c r="L2" s="62" t="s">
        <v>21</v>
      </c>
      <c r="M2" s="46"/>
    </row>
    <row r="3" spans="1:13" ht="73.5" customHeight="1">
      <c r="A3" s="63">
        <v>2</v>
      </c>
      <c r="B3" s="57" t="s">
        <v>39</v>
      </c>
      <c r="C3" s="57" t="s">
        <v>68</v>
      </c>
      <c r="D3" s="58">
        <v>45901</v>
      </c>
      <c r="E3" s="59" t="s">
        <v>69</v>
      </c>
      <c r="F3" s="57" t="s">
        <v>70</v>
      </c>
      <c r="G3" s="57" t="s">
        <v>45</v>
      </c>
      <c r="H3" s="78">
        <v>27565</v>
      </c>
      <c r="I3" s="64"/>
      <c r="J3" s="57" t="s">
        <v>14</v>
      </c>
      <c r="K3" s="55" t="s">
        <v>71</v>
      </c>
      <c r="L3" s="55" t="s">
        <v>27</v>
      </c>
      <c r="M3" s="46"/>
    </row>
    <row r="4" spans="1:13" ht="53.25" customHeight="1">
      <c r="A4" s="63">
        <v>3</v>
      </c>
      <c r="B4" s="65" t="s">
        <v>52</v>
      </c>
      <c r="C4" s="66" t="s">
        <v>72</v>
      </c>
      <c r="D4" s="58">
        <v>45607</v>
      </c>
      <c r="E4" s="68" t="s">
        <v>66</v>
      </c>
      <c r="F4" s="68" t="s">
        <v>73</v>
      </c>
      <c r="G4" s="66" t="s">
        <v>74</v>
      </c>
      <c r="H4" s="69">
        <v>27423</v>
      </c>
      <c r="I4" s="69">
        <v>101245</v>
      </c>
      <c r="J4" s="66" t="s">
        <v>66</v>
      </c>
      <c r="K4" s="55" t="s">
        <v>75</v>
      </c>
      <c r="L4" s="55">
        <v>2024</v>
      </c>
      <c r="M4" s="46" t="s">
        <v>76</v>
      </c>
    </row>
    <row r="5" spans="1:13" ht="48.75" customHeight="1">
      <c r="A5" s="56">
        <v>4</v>
      </c>
      <c r="B5" s="57" t="s">
        <v>77</v>
      </c>
      <c r="C5" s="66" t="s">
        <v>78</v>
      </c>
      <c r="D5" s="58">
        <v>45582</v>
      </c>
      <c r="E5" s="59" t="s">
        <v>79</v>
      </c>
      <c r="F5" s="68" t="s">
        <v>80</v>
      </c>
      <c r="G5" s="57" t="s">
        <v>67</v>
      </c>
      <c r="H5" s="69">
        <v>26296</v>
      </c>
      <c r="I5" s="69"/>
      <c r="J5" s="57" t="s">
        <v>14</v>
      </c>
      <c r="K5" s="61" t="s">
        <v>27</v>
      </c>
      <c r="L5" s="55" t="s">
        <v>27</v>
      </c>
      <c r="M5" s="46" t="s">
        <v>81</v>
      </c>
    </row>
    <row r="6" spans="1:13" ht="51">
      <c r="A6" s="63">
        <v>5</v>
      </c>
      <c r="B6" s="57" t="s">
        <v>82</v>
      </c>
      <c r="C6" s="57" t="s">
        <v>83</v>
      </c>
      <c r="D6" s="58">
        <v>45589</v>
      </c>
      <c r="E6" s="73" t="s">
        <v>66</v>
      </c>
      <c r="F6" s="70" t="s">
        <v>17</v>
      </c>
      <c r="G6" s="66" t="s">
        <v>19</v>
      </c>
      <c r="H6" s="69">
        <v>26297</v>
      </c>
      <c r="I6" s="69">
        <v>100117</v>
      </c>
      <c r="J6" s="66" t="s">
        <v>66</v>
      </c>
      <c r="K6" s="55"/>
      <c r="L6" s="55"/>
      <c r="M6" s="46"/>
    </row>
    <row r="7" spans="1:13" ht="38.25">
      <c r="A7" s="63">
        <v>6</v>
      </c>
      <c r="B7" s="57" t="s">
        <v>84</v>
      </c>
      <c r="C7" s="71" t="s">
        <v>85</v>
      </c>
      <c r="D7" s="58">
        <v>45625</v>
      </c>
      <c r="E7" s="57" t="s">
        <v>43</v>
      </c>
      <c r="F7" s="68" t="s">
        <v>86</v>
      </c>
      <c r="G7" s="66" t="s">
        <v>87</v>
      </c>
      <c r="H7" s="59">
        <v>26626</v>
      </c>
      <c r="I7" s="59"/>
      <c r="J7" s="57" t="s">
        <v>66</v>
      </c>
      <c r="K7" s="72">
        <v>45976</v>
      </c>
      <c r="L7" s="55"/>
      <c r="M7" s="46"/>
    </row>
    <row r="8" spans="1:13" ht="75">
      <c r="A8" s="63">
        <v>9</v>
      </c>
      <c r="B8" s="66" t="s">
        <v>52</v>
      </c>
      <c r="C8" s="66" t="s">
        <v>88</v>
      </c>
      <c r="D8" s="67">
        <v>45717</v>
      </c>
      <c r="E8" s="73" t="s">
        <v>66</v>
      </c>
      <c r="F8" s="66" t="s">
        <v>17</v>
      </c>
      <c r="G8" s="66" t="s">
        <v>55</v>
      </c>
      <c r="H8" s="73">
        <v>26958</v>
      </c>
      <c r="I8" s="73">
        <v>100780</v>
      </c>
      <c r="J8" s="66" t="s">
        <v>66</v>
      </c>
      <c r="K8" s="55"/>
      <c r="L8" s="74">
        <v>45748</v>
      </c>
      <c r="M8" s="46"/>
    </row>
    <row r="9" spans="1:13" ht="30">
      <c r="A9" s="56">
        <v>10</v>
      </c>
      <c r="B9" s="66" t="s">
        <v>52</v>
      </c>
      <c r="C9" s="66" t="s">
        <v>89</v>
      </c>
      <c r="D9" s="67">
        <v>45717</v>
      </c>
      <c r="E9" s="73" t="s">
        <v>66</v>
      </c>
      <c r="F9" s="66" t="s">
        <v>17</v>
      </c>
      <c r="G9" s="66" t="s">
        <v>55</v>
      </c>
      <c r="H9" s="73">
        <v>26950</v>
      </c>
      <c r="I9" s="73">
        <v>100772</v>
      </c>
      <c r="J9" s="66" t="s">
        <v>66</v>
      </c>
      <c r="K9" s="55"/>
      <c r="L9" s="74">
        <v>45748</v>
      </c>
      <c r="M9" s="46"/>
    </row>
    <row r="10" spans="1:13" ht="45">
      <c r="A10" s="63">
        <v>11</v>
      </c>
      <c r="B10" s="66" t="s">
        <v>52</v>
      </c>
      <c r="C10" s="66" t="s">
        <v>90</v>
      </c>
      <c r="D10" s="67">
        <v>45717</v>
      </c>
      <c r="E10" s="73" t="s">
        <v>66</v>
      </c>
      <c r="F10" s="66" t="s">
        <v>17</v>
      </c>
      <c r="G10" s="66" t="s">
        <v>55</v>
      </c>
      <c r="H10" s="73">
        <v>26933</v>
      </c>
      <c r="I10" s="73">
        <v>100755</v>
      </c>
      <c r="J10" s="66" t="s">
        <v>66</v>
      </c>
      <c r="K10" s="55"/>
      <c r="L10" s="74">
        <v>45778</v>
      </c>
      <c r="M10" s="46"/>
    </row>
    <row r="11" spans="1:13" ht="45">
      <c r="A11" s="63">
        <v>12</v>
      </c>
      <c r="B11" s="66" t="s">
        <v>39</v>
      </c>
      <c r="C11" s="66" t="s">
        <v>47</v>
      </c>
      <c r="D11" s="67"/>
      <c r="E11" s="73" t="s">
        <v>43</v>
      </c>
      <c r="F11" s="66" t="s">
        <v>48</v>
      </c>
      <c r="G11" s="66" t="s">
        <v>45</v>
      </c>
      <c r="H11" s="73"/>
      <c r="I11" s="73"/>
      <c r="J11" s="66"/>
      <c r="K11" s="55"/>
      <c r="L11" s="55"/>
      <c r="M11" s="46"/>
    </row>
    <row r="12" spans="1:13" ht="30">
      <c r="A12" s="63">
        <v>13</v>
      </c>
      <c r="B12" s="66" t="s">
        <v>39</v>
      </c>
      <c r="C12" s="66" t="s">
        <v>41</v>
      </c>
      <c r="D12" s="67">
        <v>45901</v>
      </c>
      <c r="E12" s="73" t="s">
        <v>43</v>
      </c>
      <c r="F12" s="66" t="s">
        <v>44</v>
      </c>
      <c r="G12" s="66" t="s">
        <v>45</v>
      </c>
      <c r="H12" s="73">
        <v>27422</v>
      </c>
      <c r="I12" s="73"/>
      <c r="J12" s="57" t="s">
        <v>40</v>
      </c>
      <c r="K12" s="55" t="s">
        <v>46</v>
      </c>
      <c r="L12" s="55" t="s">
        <v>21</v>
      </c>
      <c r="M12" s="46"/>
    </row>
    <row r="13" spans="1:13" ht="25.5">
      <c r="A13" s="73">
        <v>14</v>
      </c>
      <c r="B13" s="57" t="s">
        <v>77</v>
      </c>
      <c r="C13" s="66" t="s">
        <v>91</v>
      </c>
      <c r="D13" s="67"/>
      <c r="E13" s="73" t="s">
        <v>66</v>
      </c>
      <c r="F13" s="57" t="s">
        <v>17</v>
      </c>
      <c r="G13" s="57" t="s">
        <v>67</v>
      </c>
      <c r="H13" s="63">
        <v>27396</v>
      </c>
      <c r="I13" s="63"/>
      <c r="J13" s="77" t="s">
        <v>66</v>
      </c>
      <c r="K13" s="61" t="s">
        <v>46</v>
      </c>
      <c r="L13" s="55" t="s">
        <v>21</v>
      </c>
      <c r="M13" s="46"/>
    </row>
    <row r="14" spans="1:13" ht="60">
      <c r="A14" s="73">
        <v>15</v>
      </c>
      <c r="B14" s="57" t="s">
        <v>77</v>
      </c>
      <c r="C14" s="66" t="s">
        <v>92</v>
      </c>
      <c r="D14" s="67"/>
      <c r="E14" s="59" t="s">
        <v>79</v>
      </c>
      <c r="F14" s="66" t="s">
        <v>93</v>
      </c>
      <c r="G14" s="57" t="s">
        <v>67</v>
      </c>
      <c r="H14" s="73"/>
      <c r="I14" s="73"/>
      <c r="J14" s="57" t="s">
        <v>94</v>
      </c>
      <c r="K14" s="55" t="s">
        <v>95</v>
      </c>
      <c r="L14" s="55" t="s">
        <v>27</v>
      </c>
      <c r="M14" s="46"/>
    </row>
    <row r="15" spans="1:13" ht="51">
      <c r="A15" s="73">
        <v>16</v>
      </c>
      <c r="B15" s="66" t="s">
        <v>82</v>
      </c>
      <c r="C15" s="75" t="s">
        <v>96</v>
      </c>
      <c r="D15" s="67" t="s">
        <v>97</v>
      </c>
      <c r="E15" s="73" t="s">
        <v>66</v>
      </c>
      <c r="F15" s="66" t="s">
        <v>98</v>
      </c>
      <c r="G15" s="66" t="s">
        <v>19</v>
      </c>
      <c r="H15" s="73">
        <v>27070</v>
      </c>
      <c r="I15" s="73">
        <v>100892</v>
      </c>
      <c r="J15" s="66" t="s">
        <v>66</v>
      </c>
      <c r="K15" s="55" t="s">
        <v>99</v>
      </c>
      <c r="L15" s="55" t="s">
        <v>100</v>
      </c>
      <c r="M15" s="46"/>
    </row>
    <row r="16" spans="1:13" ht="45">
      <c r="A16" s="73">
        <v>17</v>
      </c>
      <c r="B16" s="57" t="s">
        <v>77</v>
      </c>
      <c r="C16" s="66" t="s">
        <v>101</v>
      </c>
      <c r="D16" s="67" t="s">
        <v>102</v>
      </c>
      <c r="E16" s="59" t="s">
        <v>79</v>
      </c>
      <c r="F16" s="66" t="s">
        <v>103</v>
      </c>
      <c r="G16" s="57" t="s">
        <v>67</v>
      </c>
      <c r="H16" s="76"/>
      <c r="I16" s="76"/>
      <c r="J16" s="66" t="s">
        <v>94</v>
      </c>
      <c r="K16" s="74" t="s">
        <v>104</v>
      </c>
      <c r="L16" s="55" t="s">
        <v>27</v>
      </c>
      <c r="M16" s="46"/>
    </row>
    <row r="17" spans="1:13" ht="29.25" customHeight="1">
      <c r="A17" s="73">
        <v>18</v>
      </c>
      <c r="B17" s="66" t="s">
        <v>105</v>
      </c>
      <c r="C17" s="66" t="s">
        <v>106</v>
      </c>
      <c r="D17" s="67" t="s">
        <v>107</v>
      </c>
      <c r="E17" s="73" t="s">
        <v>66</v>
      </c>
      <c r="F17" s="66" t="s">
        <v>17</v>
      </c>
      <c r="G17" s="66" t="s">
        <v>108</v>
      </c>
      <c r="H17" s="73">
        <v>27449</v>
      </c>
      <c r="I17" s="73"/>
      <c r="J17" s="77" t="s">
        <v>66</v>
      </c>
      <c r="K17" s="55"/>
      <c r="L17" s="74">
        <v>45931</v>
      </c>
      <c r="M17" s="46"/>
    </row>
    <row r="18" spans="1:13" ht="75">
      <c r="A18" s="73">
        <v>19</v>
      </c>
      <c r="B18" s="66" t="s">
        <v>109</v>
      </c>
      <c r="C18" s="66" t="s">
        <v>110</v>
      </c>
      <c r="D18" s="67" t="s">
        <v>42</v>
      </c>
      <c r="E18" s="73" t="s">
        <v>66</v>
      </c>
      <c r="F18" s="66" t="s">
        <v>17</v>
      </c>
      <c r="G18" s="66" t="s">
        <v>55</v>
      </c>
      <c r="H18" s="73">
        <v>27387</v>
      </c>
      <c r="I18" s="73">
        <v>101209</v>
      </c>
      <c r="J18" s="66" t="s">
        <v>66</v>
      </c>
      <c r="K18" s="55"/>
      <c r="L18" s="74">
        <v>45901</v>
      </c>
      <c r="M18" s="46"/>
    </row>
    <row r="19" spans="1:13" ht="44.25" customHeight="1">
      <c r="A19" s="73">
        <v>20</v>
      </c>
      <c r="B19" s="66" t="s">
        <v>111</v>
      </c>
      <c r="C19" s="66" t="s">
        <v>112</v>
      </c>
      <c r="D19" s="67" t="s">
        <v>102</v>
      </c>
      <c r="E19" s="73" t="s">
        <v>66</v>
      </c>
      <c r="F19" s="66" t="s">
        <v>113</v>
      </c>
      <c r="G19" s="66" t="s">
        <v>19</v>
      </c>
      <c r="H19" s="73">
        <v>27479</v>
      </c>
      <c r="I19" s="73">
        <v>101301</v>
      </c>
      <c r="J19" s="66" t="s">
        <v>114</v>
      </c>
      <c r="K19" s="55"/>
      <c r="L19" s="55"/>
      <c r="M19" s="46"/>
    </row>
    <row r="20" spans="1:13" ht="24.75" customHeight="1">
      <c r="A20" s="73">
        <v>21</v>
      </c>
      <c r="B20" s="66" t="s">
        <v>105</v>
      </c>
      <c r="C20" s="66" t="s">
        <v>115</v>
      </c>
      <c r="D20" s="67" t="s">
        <v>102</v>
      </c>
      <c r="E20" s="73" t="s">
        <v>66</v>
      </c>
      <c r="F20" s="66" t="s">
        <v>17</v>
      </c>
      <c r="G20" s="66" t="s">
        <v>108</v>
      </c>
      <c r="H20" s="73">
        <v>27482</v>
      </c>
      <c r="I20" s="73"/>
      <c r="J20" s="77" t="s">
        <v>66</v>
      </c>
      <c r="K20" s="55"/>
      <c r="L20" s="55"/>
      <c r="M20" s="46"/>
    </row>
    <row r="21" spans="1:13" ht="30">
      <c r="A21" s="73">
        <v>22</v>
      </c>
      <c r="B21" s="66" t="s">
        <v>52</v>
      </c>
      <c r="C21" s="66" t="s">
        <v>116</v>
      </c>
      <c r="D21" s="67" t="s">
        <v>42</v>
      </c>
      <c r="E21" s="73" t="s">
        <v>66</v>
      </c>
      <c r="F21" s="66" t="s">
        <v>17</v>
      </c>
      <c r="G21" s="66" t="s">
        <v>55</v>
      </c>
      <c r="H21" s="73">
        <v>27558</v>
      </c>
      <c r="I21" s="73">
        <v>101380</v>
      </c>
      <c r="J21" s="66" t="s">
        <v>66</v>
      </c>
      <c r="K21" s="55"/>
      <c r="L21" s="74">
        <v>45931</v>
      </c>
      <c r="M21" s="46"/>
    </row>
    <row r="22" spans="1:13" ht="60">
      <c r="A22" s="47">
        <v>23</v>
      </c>
      <c r="B22" s="48" t="s">
        <v>117</v>
      </c>
      <c r="C22" s="42" t="s">
        <v>118</v>
      </c>
      <c r="D22" s="49" t="s">
        <v>16</v>
      </c>
      <c r="E22" s="47" t="s">
        <v>66</v>
      </c>
      <c r="F22" s="66" t="s">
        <v>17</v>
      </c>
      <c r="G22" s="66" t="s">
        <v>19</v>
      </c>
      <c r="H22" s="47">
        <v>27603</v>
      </c>
      <c r="I22" s="47"/>
      <c r="J22" s="77" t="s">
        <v>66</v>
      </c>
      <c r="K22" s="50"/>
      <c r="L22" s="97">
        <v>46054</v>
      </c>
    </row>
    <row r="23" spans="1:13" ht="45">
      <c r="A23" s="73">
        <v>24</v>
      </c>
      <c r="B23" s="48" t="s">
        <v>117</v>
      </c>
      <c r="C23" s="48" t="s">
        <v>119</v>
      </c>
      <c r="D23" s="49" t="s">
        <v>16</v>
      </c>
      <c r="E23" s="73" t="s">
        <v>43</v>
      </c>
      <c r="F23" s="42" t="s">
        <v>23</v>
      </c>
      <c r="G23" s="66" t="s">
        <v>19</v>
      </c>
    </row>
    <row r="24" spans="1:13" ht="45">
      <c r="A24" s="47">
        <v>25</v>
      </c>
      <c r="B24" s="48" t="s">
        <v>117</v>
      </c>
      <c r="C24" s="42" t="s">
        <v>120</v>
      </c>
      <c r="D24" s="49" t="s">
        <v>16</v>
      </c>
      <c r="E24" s="73" t="s">
        <v>43</v>
      </c>
      <c r="F24" s="42" t="s">
        <v>121</v>
      </c>
      <c r="G24" s="66" t="s">
        <v>19</v>
      </c>
    </row>
    <row r="25" spans="1:13" ht="60">
      <c r="A25" s="44">
        <v>26</v>
      </c>
      <c r="B25" s="48" t="s">
        <v>82</v>
      </c>
      <c r="C25" s="42" t="s">
        <v>122</v>
      </c>
      <c r="D25" s="43" t="s">
        <v>123</v>
      </c>
      <c r="E25" s="73" t="s">
        <v>43</v>
      </c>
      <c r="F25" s="42" t="s">
        <v>124</v>
      </c>
      <c r="G25" s="66" t="s">
        <v>19</v>
      </c>
    </row>
  </sheetData>
  <autoFilter ref="A1:M25" xr:uid="{7EC26042-9F81-42AA-A1E1-C65D2CF619D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DE18-B18C-4C09-AF4E-F60A70047F1D}">
  <dimension ref="A1:K20"/>
  <sheetViews>
    <sheetView workbookViewId="0">
      <pane ySplit="1" topLeftCell="A2" activePane="bottomLeft" state="frozen"/>
      <selection pane="bottomLeft" activeCell="I1" sqref="I1"/>
    </sheetView>
  </sheetViews>
  <sheetFormatPr defaultColWidth="9.28515625" defaultRowHeight="15"/>
  <cols>
    <col min="1" max="1" width="9.28515625" style="17"/>
    <col min="2" max="2" width="18.42578125" style="17" customWidth="1"/>
    <col min="3" max="3" width="68.7109375" style="17" customWidth="1"/>
    <col min="4" max="4" width="21.28515625" style="26" customWidth="1"/>
    <col min="5" max="5" width="10.5703125" style="26" customWidth="1"/>
    <col min="6" max="6" width="24.28515625" style="17" customWidth="1"/>
    <col min="7" max="8" width="15.42578125" style="17" customWidth="1"/>
    <col min="9" max="9" width="13.42578125" style="17" bestFit="1" customWidth="1"/>
    <col min="10" max="10" width="21.28515625" style="3" customWidth="1"/>
    <col min="11" max="11" width="9.28515625" style="3" bestFit="1" customWidth="1"/>
    <col min="12" max="16384" width="9.28515625" style="3"/>
  </cols>
  <sheetData>
    <row r="1" spans="1:11" ht="26.25">
      <c r="A1" s="8" t="s">
        <v>0</v>
      </c>
      <c r="B1" s="8" t="s">
        <v>60</v>
      </c>
      <c r="C1" s="8" t="s">
        <v>5</v>
      </c>
      <c r="D1" s="9" t="s">
        <v>6</v>
      </c>
      <c r="E1" s="9"/>
      <c r="F1" s="8" t="s">
        <v>125</v>
      </c>
      <c r="G1" s="8" t="s">
        <v>9</v>
      </c>
      <c r="H1" s="8" t="s">
        <v>2</v>
      </c>
      <c r="I1" s="8" t="s">
        <v>4</v>
      </c>
      <c r="J1" s="3" t="s">
        <v>10</v>
      </c>
      <c r="K1" s="3" t="s">
        <v>62</v>
      </c>
    </row>
    <row r="2" spans="1:11">
      <c r="A2" s="2">
        <f>ROW() - ROW($A$1)</f>
        <v>1</v>
      </c>
      <c r="B2" s="1" t="s">
        <v>39</v>
      </c>
      <c r="C2" s="1" t="s">
        <v>126</v>
      </c>
      <c r="D2" s="11">
        <v>45047</v>
      </c>
      <c r="E2" s="11" t="s">
        <v>79</v>
      </c>
      <c r="F2" s="1" t="s">
        <v>127</v>
      </c>
      <c r="G2" s="1" t="s">
        <v>45</v>
      </c>
      <c r="H2" s="1" t="s">
        <v>27</v>
      </c>
      <c r="I2" s="1" t="s">
        <v>27</v>
      </c>
      <c r="J2" s="3" t="s">
        <v>27</v>
      </c>
    </row>
    <row r="3" spans="1:11" ht="54" customHeight="1">
      <c r="A3" s="2">
        <f>ROW() - ROW($A$1)</f>
        <v>2</v>
      </c>
      <c r="B3" s="1" t="s">
        <v>128</v>
      </c>
      <c r="C3" s="1" t="s">
        <v>129</v>
      </c>
      <c r="D3" s="11">
        <v>45161</v>
      </c>
      <c r="E3" s="11" t="s">
        <v>69</v>
      </c>
      <c r="F3" s="32" t="s">
        <v>130</v>
      </c>
      <c r="G3" s="1" t="s">
        <v>19</v>
      </c>
      <c r="H3" s="12">
        <v>25466</v>
      </c>
      <c r="I3" s="1" t="s">
        <v>66</v>
      </c>
      <c r="J3" s="1" t="s">
        <v>131</v>
      </c>
      <c r="K3" s="3" t="s">
        <v>132</v>
      </c>
    </row>
    <row r="4" spans="1:11" ht="70.5" customHeight="1">
      <c r="A4" s="2">
        <f>ROW() - ROW($A$1)</f>
        <v>3</v>
      </c>
      <c r="B4" s="4" t="s">
        <v>52</v>
      </c>
      <c r="C4" s="4" t="s">
        <v>133</v>
      </c>
      <c r="D4" s="11">
        <v>45192</v>
      </c>
      <c r="E4" s="21" t="s">
        <v>69</v>
      </c>
      <c r="F4" s="7" t="s">
        <v>134</v>
      </c>
      <c r="G4" s="19" t="s">
        <v>135</v>
      </c>
      <c r="H4" s="25">
        <v>25987</v>
      </c>
      <c r="I4" s="17" t="s">
        <v>66</v>
      </c>
    </row>
    <row r="5" spans="1:11" ht="48.75" customHeight="1">
      <c r="A5" s="2">
        <f>ROW() - ROW($A$1)</f>
        <v>4</v>
      </c>
      <c r="B5" s="4" t="s">
        <v>52</v>
      </c>
      <c r="C5" s="4" t="s">
        <v>136</v>
      </c>
      <c r="D5" s="11">
        <v>45222</v>
      </c>
      <c r="E5" s="21" t="s">
        <v>69</v>
      </c>
      <c r="F5" s="7" t="s">
        <v>137</v>
      </c>
      <c r="G5" s="19" t="s">
        <v>135</v>
      </c>
      <c r="H5" s="25">
        <v>25993</v>
      </c>
      <c r="I5" s="34" t="s">
        <v>66</v>
      </c>
    </row>
    <row r="6" spans="1:11" ht="26.25">
      <c r="A6" s="2">
        <v>2</v>
      </c>
      <c r="B6" s="1" t="s">
        <v>138</v>
      </c>
      <c r="C6" s="1" t="s">
        <v>139</v>
      </c>
      <c r="D6" s="22">
        <v>45222</v>
      </c>
      <c r="E6" s="23" t="s">
        <v>66</v>
      </c>
      <c r="F6" s="24" t="s">
        <v>140</v>
      </c>
      <c r="G6" s="1" t="s">
        <v>141</v>
      </c>
      <c r="H6" s="12"/>
    </row>
    <row r="7" spans="1:11" ht="26.25">
      <c r="A7" s="2">
        <f t="shared" ref="A7:A18" si="0">ROW() - ROW($A$1)</f>
        <v>6</v>
      </c>
      <c r="B7" s="24" t="s">
        <v>84</v>
      </c>
      <c r="C7" s="24" t="s">
        <v>142</v>
      </c>
      <c r="D7" s="22">
        <v>45310</v>
      </c>
      <c r="E7" s="23" t="s">
        <v>66</v>
      </c>
      <c r="F7" s="5" t="s">
        <v>143</v>
      </c>
      <c r="G7" s="1" t="s">
        <v>87</v>
      </c>
      <c r="H7" s="12">
        <v>25452</v>
      </c>
      <c r="I7" s="7" t="s">
        <v>66</v>
      </c>
      <c r="J7" s="28"/>
    </row>
    <row r="8" spans="1:11" ht="38.25" customHeight="1">
      <c r="A8" s="1">
        <f t="shared" si="0"/>
        <v>7</v>
      </c>
      <c r="B8" s="1" t="s">
        <v>77</v>
      </c>
      <c r="C8" s="41" t="s">
        <v>144</v>
      </c>
      <c r="D8" s="40" t="s">
        <v>145</v>
      </c>
      <c r="E8" s="12" t="s">
        <v>69</v>
      </c>
      <c r="F8" s="39" t="s">
        <v>17</v>
      </c>
      <c r="G8" s="39" t="s">
        <v>146</v>
      </c>
      <c r="H8" s="33">
        <v>25947</v>
      </c>
      <c r="I8" s="39" t="s">
        <v>66</v>
      </c>
      <c r="J8" s="39"/>
      <c r="K8" s="38"/>
    </row>
    <row r="9" spans="1:11" ht="26.25">
      <c r="A9" s="1">
        <f t="shared" si="0"/>
        <v>8</v>
      </c>
      <c r="B9" s="1" t="s">
        <v>77</v>
      </c>
      <c r="C9" s="1" t="s">
        <v>147</v>
      </c>
      <c r="D9" s="22">
        <v>45330</v>
      </c>
      <c r="E9" s="25" t="s">
        <v>69</v>
      </c>
      <c r="F9" s="5" t="s">
        <v>143</v>
      </c>
      <c r="G9" s="1" t="s">
        <v>146</v>
      </c>
      <c r="H9" s="33">
        <v>25833</v>
      </c>
      <c r="I9" s="1" t="s">
        <v>66</v>
      </c>
      <c r="J9" s="1" t="s">
        <v>148</v>
      </c>
    </row>
    <row r="10" spans="1:11" ht="64.5">
      <c r="A10" s="1">
        <f t="shared" si="0"/>
        <v>9</v>
      </c>
      <c r="B10" s="1" t="s">
        <v>63</v>
      </c>
      <c r="C10" s="1" t="s">
        <v>149</v>
      </c>
      <c r="D10" s="22">
        <v>45363</v>
      </c>
      <c r="E10" s="25" t="s">
        <v>43</v>
      </c>
      <c r="F10" s="1" t="s">
        <v>150</v>
      </c>
      <c r="G10" s="1" t="s">
        <v>146</v>
      </c>
      <c r="H10" s="33">
        <v>25945</v>
      </c>
      <c r="I10" s="1"/>
      <c r="J10" s="1" t="s">
        <v>151</v>
      </c>
    </row>
    <row r="11" spans="1:11" ht="26.25">
      <c r="A11" s="2">
        <f t="shared" si="0"/>
        <v>10</v>
      </c>
      <c r="B11" s="1" t="s">
        <v>152</v>
      </c>
      <c r="C11" s="1" t="s">
        <v>153</v>
      </c>
      <c r="D11" s="11">
        <v>45413</v>
      </c>
      <c r="E11" s="25" t="s">
        <v>43</v>
      </c>
      <c r="F11" s="1" t="s">
        <v>154</v>
      </c>
      <c r="G11" s="1" t="s">
        <v>19</v>
      </c>
      <c r="H11" s="12"/>
    </row>
    <row r="12" spans="1:11" ht="43.5" customHeight="1">
      <c r="A12" s="2">
        <f t="shared" si="0"/>
        <v>11</v>
      </c>
      <c r="B12" s="1" t="s">
        <v>128</v>
      </c>
      <c r="C12" s="35" t="s">
        <v>155</v>
      </c>
      <c r="D12" s="11">
        <v>45383</v>
      </c>
      <c r="E12" s="25" t="s">
        <v>69</v>
      </c>
      <c r="F12" s="5" t="s">
        <v>156</v>
      </c>
      <c r="G12" s="1" t="s">
        <v>19</v>
      </c>
      <c r="H12" s="25">
        <v>25986</v>
      </c>
      <c r="I12" s="25" t="s">
        <v>66</v>
      </c>
      <c r="J12" s="3" t="s">
        <v>157</v>
      </c>
      <c r="K12" s="3" t="s">
        <v>158</v>
      </c>
    </row>
    <row r="13" spans="1:11" ht="51.75">
      <c r="A13" s="2">
        <f t="shared" si="0"/>
        <v>12</v>
      </c>
      <c r="B13" s="1" t="s">
        <v>39</v>
      </c>
      <c r="C13" s="1" t="s">
        <v>68</v>
      </c>
      <c r="D13" s="11">
        <v>45352</v>
      </c>
      <c r="E13" s="11" t="s">
        <v>43</v>
      </c>
      <c r="F13" s="1" t="s">
        <v>70</v>
      </c>
      <c r="G13" s="1" t="s">
        <v>45</v>
      </c>
      <c r="H13" s="12"/>
      <c r="I13" s="1" t="s">
        <v>94</v>
      </c>
    </row>
    <row r="14" spans="1:11" ht="141">
      <c r="A14" s="2">
        <f t="shared" si="0"/>
        <v>13</v>
      </c>
      <c r="B14" s="4" t="s">
        <v>52</v>
      </c>
      <c r="C14" s="4" t="s">
        <v>72</v>
      </c>
      <c r="D14" s="30">
        <v>45418</v>
      </c>
      <c r="E14" s="26" t="s">
        <v>66</v>
      </c>
      <c r="F14" s="7" t="s">
        <v>73</v>
      </c>
      <c r="G14" s="17" t="s">
        <v>135</v>
      </c>
      <c r="H14" s="7"/>
      <c r="I14" s="7" t="s">
        <v>94</v>
      </c>
    </row>
    <row r="15" spans="1:11" ht="45">
      <c r="A15" s="2">
        <f t="shared" si="0"/>
        <v>14</v>
      </c>
      <c r="B15" s="24" t="s">
        <v>84</v>
      </c>
      <c r="C15" s="24" t="s">
        <v>159</v>
      </c>
      <c r="D15" s="30">
        <v>45485</v>
      </c>
      <c r="E15" s="23" t="s">
        <v>66</v>
      </c>
      <c r="F15" s="5" t="s">
        <v>160</v>
      </c>
      <c r="G15" s="17" t="s">
        <v>87</v>
      </c>
      <c r="H15" s="36">
        <v>25860</v>
      </c>
      <c r="I15" s="7" t="s">
        <v>66</v>
      </c>
      <c r="K15" s="3" t="s">
        <v>161</v>
      </c>
    </row>
    <row r="16" spans="1:11" ht="26.25">
      <c r="A16" s="2">
        <f t="shared" si="0"/>
        <v>15</v>
      </c>
      <c r="B16" s="24" t="s">
        <v>84</v>
      </c>
      <c r="C16" s="24" t="s">
        <v>162</v>
      </c>
      <c r="D16" s="30">
        <v>45484</v>
      </c>
      <c r="E16" s="23" t="s">
        <v>66</v>
      </c>
      <c r="F16" s="5" t="s">
        <v>160</v>
      </c>
      <c r="G16" s="17" t="s">
        <v>87</v>
      </c>
      <c r="H16" s="36">
        <v>25856</v>
      </c>
      <c r="I16" s="7" t="s">
        <v>66</v>
      </c>
    </row>
    <row r="17" spans="1:10" ht="26.25">
      <c r="A17" s="2">
        <f t="shared" si="0"/>
        <v>16</v>
      </c>
      <c r="B17" s="24" t="s">
        <v>84</v>
      </c>
      <c r="C17" s="31" t="s">
        <v>163</v>
      </c>
      <c r="D17" s="22">
        <v>45334</v>
      </c>
      <c r="E17" s="23" t="s">
        <v>66</v>
      </c>
      <c r="F17" s="5" t="s">
        <v>160</v>
      </c>
      <c r="G17" s="17" t="s">
        <v>87</v>
      </c>
      <c r="H17" s="36">
        <v>25446</v>
      </c>
      <c r="I17" s="7" t="s">
        <v>66</v>
      </c>
    </row>
    <row r="18" spans="1:10" ht="30">
      <c r="A18" s="17">
        <f t="shared" si="0"/>
        <v>17</v>
      </c>
      <c r="B18" s="1" t="s">
        <v>77</v>
      </c>
      <c r="C18" s="17" t="s">
        <v>78</v>
      </c>
      <c r="D18" s="22">
        <v>45582</v>
      </c>
      <c r="E18" s="25" t="s">
        <v>43</v>
      </c>
      <c r="F18" s="17" t="s">
        <v>164</v>
      </c>
      <c r="G18" s="1" t="s">
        <v>146</v>
      </c>
      <c r="H18" s="36">
        <v>26296</v>
      </c>
      <c r="I18" s="1" t="s">
        <v>94</v>
      </c>
      <c r="J18" s="45" t="s">
        <v>165</v>
      </c>
    </row>
    <row r="19" spans="1:10" ht="39">
      <c r="A19" s="17">
        <v>18</v>
      </c>
      <c r="B19" s="1" t="s">
        <v>82</v>
      </c>
      <c r="C19" s="1" t="s">
        <v>83</v>
      </c>
      <c r="D19" s="22">
        <v>45589</v>
      </c>
      <c r="E19" s="1" t="s">
        <v>43</v>
      </c>
      <c r="F19" s="1" t="s">
        <v>166</v>
      </c>
      <c r="G19" s="17" t="s">
        <v>19</v>
      </c>
      <c r="H19" s="36">
        <v>26297</v>
      </c>
      <c r="I19" s="17" t="s">
        <v>66</v>
      </c>
    </row>
    <row r="20" spans="1:10" ht="45">
      <c r="A20" s="17">
        <v>19</v>
      </c>
      <c r="B20" s="24" t="s">
        <v>84</v>
      </c>
      <c r="C20" s="31" t="s">
        <v>85</v>
      </c>
      <c r="D20" s="22">
        <v>45625</v>
      </c>
      <c r="E20" s="1" t="s">
        <v>43</v>
      </c>
      <c r="F20" s="17" t="s">
        <v>86</v>
      </c>
      <c r="G20" s="17" t="s">
        <v>87</v>
      </c>
      <c r="I20" s="1" t="s">
        <v>94</v>
      </c>
      <c r="J20" s="37">
        <v>45736</v>
      </c>
    </row>
  </sheetData>
  <autoFilter ref="A1:K20" xr:uid="{E43DDE18-B18C-4C09-AF4E-F60A70047F1D}"/>
  <dataValidations count="1">
    <dataValidation type="list" allowBlank="1" showInputMessage="1" showErrorMessage="1" sqref="E2:E5 E13" xr:uid="{48C7639A-B611-4675-B8C1-BA34339EF2D8}">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3"/>
  <sheetViews>
    <sheetView workbookViewId="0">
      <pane ySplit="1" topLeftCell="A9" activePane="bottomLeft" state="frozen"/>
      <selection pane="bottomLeft" activeCell="C9" sqref="C9"/>
    </sheetView>
  </sheetViews>
  <sheetFormatPr defaultColWidth="9.28515625" defaultRowHeight="15"/>
  <cols>
    <col min="1" max="1" width="9.28515625" style="17"/>
    <col min="2" max="2" width="18.42578125" style="17" customWidth="1"/>
    <col min="3" max="3" width="68.7109375" style="17" customWidth="1"/>
    <col min="4" max="4" width="10.5703125" style="26" bestFit="1" customWidth="1"/>
    <col min="5" max="5" width="10.5703125" style="26" customWidth="1"/>
    <col min="6" max="6" width="65" style="17" customWidth="1"/>
    <col min="7" max="8" width="15.42578125" style="17" customWidth="1"/>
    <col min="9" max="9" width="13.42578125" style="17" bestFit="1" customWidth="1"/>
    <col min="10" max="10" width="21.28515625" style="3" customWidth="1"/>
    <col min="11" max="16384" width="9.28515625" style="3"/>
  </cols>
  <sheetData>
    <row r="1" spans="1:10" ht="26.25">
      <c r="A1" s="8" t="s">
        <v>0</v>
      </c>
      <c r="B1" s="8" t="s">
        <v>60</v>
      </c>
      <c r="C1" s="8" t="s">
        <v>5</v>
      </c>
      <c r="D1" s="9" t="s">
        <v>6</v>
      </c>
      <c r="E1" s="9"/>
      <c r="F1" s="8" t="s">
        <v>125</v>
      </c>
      <c r="G1" s="8" t="s">
        <v>9</v>
      </c>
      <c r="H1" s="8" t="s">
        <v>2</v>
      </c>
      <c r="I1" s="8" t="s">
        <v>4</v>
      </c>
      <c r="J1" s="3" t="s">
        <v>10</v>
      </c>
    </row>
    <row r="2" spans="1:10" hidden="1">
      <c r="A2" s="2">
        <v>1</v>
      </c>
      <c r="B2" s="2" t="s">
        <v>167</v>
      </c>
      <c r="C2" s="2" t="s">
        <v>168</v>
      </c>
      <c r="D2" s="10">
        <v>44986</v>
      </c>
      <c r="E2" s="11" t="s">
        <v>69</v>
      </c>
      <c r="F2" s="2" t="s">
        <v>169</v>
      </c>
      <c r="G2" s="2" t="s">
        <v>170</v>
      </c>
      <c r="H2" s="2">
        <v>24774</v>
      </c>
      <c r="I2" s="2" t="s">
        <v>66</v>
      </c>
    </row>
    <row r="3" spans="1:10" ht="75" hidden="1">
      <c r="A3" s="1">
        <v>2</v>
      </c>
      <c r="B3" s="1" t="s">
        <v>39</v>
      </c>
      <c r="C3" s="1" t="s">
        <v>171</v>
      </c>
      <c r="D3" s="11">
        <v>44986</v>
      </c>
      <c r="E3" s="11" t="s">
        <v>69</v>
      </c>
      <c r="F3" s="1" t="s">
        <v>169</v>
      </c>
      <c r="G3" s="1" t="s">
        <v>45</v>
      </c>
      <c r="H3" s="1"/>
      <c r="I3" s="1" t="s">
        <v>66</v>
      </c>
      <c r="J3" s="3" t="s">
        <v>172</v>
      </c>
    </row>
    <row r="4" spans="1:10" ht="60" hidden="1">
      <c r="A4" s="1">
        <v>3</v>
      </c>
      <c r="B4" s="1" t="s">
        <v>39</v>
      </c>
      <c r="C4" s="1" t="s">
        <v>173</v>
      </c>
      <c r="D4" s="11">
        <v>45161</v>
      </c>
      <c r="E4" s="11" t="s">
        <v>69</v>
      </c>
      <c r="F4" s="1" t="s">
        <v>169</v>
      </c>
      <c r="G4" s="1" t="s">
        <v>174</v>
      </c>
      <c r="H4" s="1"/>
      <c r="I4" s="1" t="s">
        <v>175</v>
      </c>
      <c r="J4" s="3" t="s">
        <v>176</v>
      </c>
    </row>
    <row r="5" spans="1:10" ht="30" hidden="1">
      <c r="A5" s="2">
        <v>4</v>
      </c>
      <c r="B5" s="1" t="s">
        <v>39</v>
      </c>
      <c r="C5" s="1" t="s">
        <v>126</v>
      </c>
      <c r="D5" s="11">
        <v>45047</v>
      </c>
      <c r="E5" s="11" t="s">
        <v>177</v>
      </c>
      <c r="F5" s="1" t="s">
        <v>127</v>
      </c>
      <c r="G5" s="1" t="s">
        <v>45</v>
      </c>
      <c r="H5" s="1"/>
      <c r="I5" s="1" t="s">
        <v>178</v>
      </c>
      <c r="J5" s="3" t="s">
        <v>179</v>
      </c>
    </row>
    <row r="6" spans="1:10" hidden="1">
      <c r="A6" s="2">
        <v>5</v>
      </c>
      <c r="B6" s="1" t="s">
        <v>180</v>
      </c>
      <c r="C6" s="1" t="s">
        <v>181</v>
      </c>
      <c r="D6" s="11">
        <v>45108</v>
      </c>
      <c r="E6" s="11" t="s">
        <v>69</v>
      </c>
      <c r="F6" s="1" t="s">
        <v>182</v>
      </c>
      <c r="G6" s="1" t="s">
        <v>141</v>
      </c>
      <c r="H6" s="1"/>
      <c r="I6" s="1" t="s">
        <v>66</v>
      </c>
    </row>
    <row r="7" spans="1:10" hidden="1">
      <c r="A7" s="2">
        <v>6</v>
      </c>
      <c r="B7" s="1" t="s">
        <v>180</v>
      </c>
      <c r="C7" s="1" t="s">
        <v>183</v>
      </c>
      <c r="D7" s="11">
        <v>45078</v>
      </c>
      <c r="E7" s="11" t="s">
        <v>69</v>
      </c>
      <c r="F7" s="1" t="s">
        <v>182</v>
      </c>
      <c r="G7" s="1" t="s">
        <v>141</v>
      </c>
      <c r="H7" s="1"/>
      <c r="I7" s="1" t="s">
        <v>66</v>
      </c>
    </row>
    <row r="8" spans="1:10">
      <c r="A8" s="2">
        <v>7</v>
      </c>
      <c r="B8" s="1" t="s">
        <v>13</v>
      </c>
      <c r="C8" s="1" t="s">
        <v>184</v>
      </c>
      <c r="D8" s="11">
        <v>44986</v>
      </c>
      <c r="E8" s="11" t="s">
        <v>69</v>
      </c>
      <c r="F8" s="5" t="s">
        <v>182</v>
      </c>
      <c r="G8" s="1" t="s">
        <v>19</v>
      </c>
      <c r="H8" s="12">
        <v>98709</v>
      </c>
      <c r="I8" s="1" t="s">
        <v>66</v>
      </c>
    </row>
    <row r="9" spans="1:10" ht="54" customHeight="1">
      <c r="A9" s="2">
        <v>8</v>
      </c>
      <c r="B9" s="1" t="s">
        <v>13</v>
      </c>
      <c r="C9" s="1" t="s">
        <v>185</v>
      </c>
      <c r="D9" s="11">
        <v>45161</v>
      </c>
      <c r="E9" s="11" t="s">
        <v>43</v>
      </c>
      <c r="F9" s="1" t="s">
        <v>186</v>
      </c>
      <c r="G9" s="1" t="s">
        <v>19</v>
      </c>
      <c r="H9" s="25">
        <v>25466</v>
      </c>
      <c r="I9" s="1"/>
      <c r="J9" s="1" t="s">
        <v>187</v>
      </c>
    </row>
    <row r="10" spans="1:10" ht="96.75" hidden="1" customHeight="1">
      <c r="A10" s="2">
        <v>9</v>
      </c>
      <c r="B10" s="1" t="s">
        <v>188</v>
      </c>
      <c r="C10" s="1" t="s">
        <v>189</v>
      </c>
      <c r="D10" s="11">
        <v>45100</v>
      </c>
      <c r="E10" s="11" t="s">
        <v>69</v>
      </c>
      <c r="F10" s="5" t="s">
        <v>190</v>
      </c>
      <c r="G10" s="1" t="s">
        <v>191</v>
      </c>
      <c r="H10" s="1">
        <v>24793</v>
      </c>
      <c r="I10" s="1" t="s">
        <v>66</v>
      </c>
    </row>
    <row r="11" spans="1:10" hidden="1">
      <c r="A11" s="2">
        <v>10</v>
      </c>
      <c r="B11" s="1" t="s">
        <v>192</v>
      </c>
      <c r="C11" s="4" t="s">
        <v>193</v>
      </c>
      <c r="D11" s="27">
        <v>45078</v>
      </c>
      <c r="E11" s="11" t="s">
        <v>69</v>
      </c>
      <c r="F11" s="14" t="s">
        <v>194</v>
      </c>
      <c r="G11" s="4" t="s">
        <v>195</v>
      </c>
      <c r="H11" s="15">
        <v>24767</v>
      </c>
      <c r="I11" s="4" t="s">
        <v>66</v>
      </c>
      <c r="J11" s="15">
        <v>24767</v>
      </c>
    </row>
    <row r="12" spans="1:10" ht="26.25" hidden="1">
      <c r="A12" s="2">
        <v>11</v>
      </c>
      <c r="B12" s="1" t="s">
        <v>196</v>
      </c>
      <c r="C12" s="1" t="s">
        <v>197</v>
      </c>
      <c r="D12" s="27">
        <v>45159</v>
      </c>
      <c r="E12" s="11" t="s">
        <v>69</v>
      </c>
      <c r="F12" s="1" t="s">
        <v>198</v>
      </c>
      <c r="G12" s="1" t="s">
        <v>87</v>
      </c>
      <c r="H12" s="1">
        <v>25446</v>
      </c>
      <c r="I12" s="1" t="s">
        <v>175</v>
      </c>
      <c r="J12" s="13">
        <v>45322</v>
      </c>
    </row>
    <row r="13" spans="1:10" hidden="1">
      <c r="A13" s="2">
        <v>12</v>
      </c>
      <c r="B13" s="6" t="s">
        <v>167</v>
      </c>
      <c r="C13" s="6" t="s">
        <v>199</v>
      </c>
      <c r="D13" s="16">
        <v>45222</v>
      </c>
      <c r="E13" s="11" t="s">
        <v>69</v>
      </c>
      <c r="F13" s="6" t="s">
        <v>182</v>
      </c>
      <c r="G13" s="1" t="s">
        <v>170</v>
      </c>
      <c r="H13" s="1">
        <v>25075</v>
      </c>
      <c r="I13" s="17" t="s">
        <v>66</v>
      </c>
    </row>
    <row r="14" spans="1:10" ht="48.75" hidden="1" customHeight="1">
      <c r="A14" s="18">
        <v>13</v>
      </c>
      <c r="B14" s="4" t="s">
        <v>200</v>
      </c>
      <c r="C14" s="7" t="s">
        <v>201</v>
      </c>
      <c r="D14" s="11">
        <v>45161</v>
      </c>
      <c r="E14" s="29" t="s">
        <v>69</v>
      </c>
      <c r="F14" s="4" t="s">
        <v>202</v>
      </c>
      <c r="G14" s="19" t="s">
        <v>203</v>
      </c>
      <c r="H14" s="1">
        <v>25364</v>
      </c>
    </row>
    <row r="15" spans="1:10" ht="61.5" hidden="1" customHeight="1">
      <c r="A15" s="20">
        <v>14</v>
      </c>
      <c r="B15" s="4" t="s">
        <v>200</v>
      </c>
      <c r="C15" s="4" t="s">
        <v>204</v>
      </c>
      <c r="D15" s="11">
        <v>45192</v>
      </c>
      <c r="E15" s="21" t="s">
        <v>43</v>
      </c>
      <c r="F15" s="4" t="s">
        <v>205</v>
      </c>
      <c r="G15" s="19" t="s">
        <v>203</v>
      </c>
      <c r="H15" s="1">
        <v>25440</v>
      </c>
    </row>
    <row r="16" spans="1:10" ht="48.75" hidden="1" customHeight="1">
      <c r="A16" s="20">
        <v>15</v>
      </c>
      <c r="B16" s="4" t="s">
        <v>200</v>
      </c>
      <c r="C16" s="4" t="s">
        <v>136</v>
      </c>
      <c r="D16" s="11">
        <v>45222</v>
      </c>
      <c r="E16" s="21" t="s">
        <v>43</v>
      </c>
      <c r="F16" s="4" t="s">
        <v>206</v>
      </c>
      <c r="G16" s="19" t="s">
        <v>203</v>
      </c>
      <c r="H16" s="1">
        <v>25441</v>
      </c>
    </row>
    <row r="17" spans="1:10" hidden="1">
      <c r="A17" s="20">
        <v>16</v>
      </c>
      <c r="B17" s="1" t="s">
        <v>138</v>
      </c>
      <c r="C17" s="1" t="s">
        <v>139</v>
      </c>
      <c r="D17" s="22">
        <v>45222</v>
      </c>
      <c r="E17" s="23" t="s">
        <v>66</v>
      </c>
      <c r="F17" s="24" t="s">
        <v>140</v>
      </c>
      <c r="G17" s="1" t="s">
        <v>141</v>
      </c>
      <c r="H17" s="1"/>
    </row>
    <row r="18" spans="1:10" ht="26.25" hidden="1">
      <c r="A18" s="1">
        <v>17</v>
      </c>
      <c r="B18" s="24" t="s">
        <v>196</v>
      </c>
      <c r="C18" s="24" t="s">
        <v>142</v>
      </c>
      <c r="D18" s="22">
        <v>45310</v>
      </c>
      <c r="E18" s="23" t="s">
        <v>66</v>
      </c>
      <c r="F18" s="1" t="s">
        <v>143</v>
      </c>
      <c r="G18" s="1" t="s">
        <v>87</v>
      </c>
      <c r="H18" s="1">
        <v>25452</v>
      </c>
      <c r="I18" s="17" t="s">
        <v>175</v>
      </c>
      <c r="J18" s="28">
        <v>45322</v>
      </c>
    </row>
    <row r="19" spans="1:10">
      <c r="A19" s="1"/>
      <c r="B19" s="1"/>
      <c r="C19" s="1"/>
      <c r="D19" s="25"/>
      <c r="E19" s="25"/>
      <c r="F19" s="1"/>
      <c r="G19" s="1"/>
      <c r="H19" s="1"/>
    </row>
    <row r="20" spans="1:10">
      <c r="A20" s="1"/>
      <c r="B20" s="1"/>
      <c r="C20" s="1"/>
      <c r="D20" s="25"/>
      <c r="E20" s="25"/>
      <c r="F20" s="1"/>
      <c r="G20" s="1"/>
      <c r="H20" s="1"/>
    </row>
    <row r="21" spans="1:10">
      <c r="A21" s="1"/>
      <c r="B21" s="1"/>
      <c r="C21" s="1"/>
      <c r="D21" s="25"/>
      <c r="E21" s="25"/>
      <c r="F21" s="1"/>
      <c r="G21" s="1"/>
      <c r="H21" s="1"/>
    </row>
    <row r="22" spans="1:10">
      <c r="A22" s="1"/>
      <c r="B22" s="1"/>
      <c r="C22" s="1"/>
      <c r="D22" s="25"/>
      <c r="E22" s="25"/>
      <c r="F22" s="1"/>
      <c r="G22" s="1"/>
      <c r="H22" s="1"/>
    </row>
    <row r="23" spans="1:10">
      <c r="A23" s="1"/>
      <c r="B23" s="1"/>
      <c r="C23" s="1"/>
      <c r="D23" s="25"/>
      <c r="E23" s="25"/>
      <c r="F23" s="1"/>
      <c r="G23" s="1"/>
      <c r="H23" s="1"/>
    </row>
  </sheetData>
  <autoFilter ref="A1:J18" xr:uid="{00000000-0001-0000-0000-000000000000}">
    <filterColumn colId="1">
      <filters>
        <filter val="Testing"/>
      </filters>
    </filterColumn>
  </autoFilter>
  <dataValidations count="1">
    <dataValidation type="list" allowBlank="1" showInputMessage="1" showErrorMessage="1" sqref="E2:E16" xr:uid="{00000000-0002-0000-0000-000000000000}">
      <formula1>#REF!</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0608C8D36F634AAF719077DBABF93C" ma:contentTypeVersion="34" ma:contentTypeDescription="Create a new document." ma:contentTypeScope="" ma:versionID="2559184060766fb714bc4c9a643c6c65">
  <xsd:schema xmlns:xsd="http://www.w3.org/2001/XMLSchema" xmlns:xs="http://www.w3.org/2001/XMLSchema" xmlns:p="http://schemas.microsoft.com/office/2006/metadata/properties" xmlns:ns1="http://schemas.microsoft.com/sharepoint/v3" xmlns:ns2="fe1be66e-528a-4f07-8a62-e810e4015989" xmlns:ns3="8c85c1d2-ff8c-4684-85d1-d741f21e304c" targetNamespace="http://schemas.microsoft.com/office/2006/metadata/properties" ma:root="true" ma:fieldsID="d9d2232ea8be4d2dd2c04aac4b6f876d" ns1:_="" ns2:_="" ns3:_="">
    <xsd:import namespace="http://schemas.microsoft.com/sharepoint/v3"/>
    <xsd:import namespace="fe1be66e-528a-4f07-8a62-e810e4015989"/>
    <xsd:import namespace="8c85c1d2-ff8c-4684-85d1-d741f21e304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DateModified" minOccurs="0"/>
                <xsd:element ref="ns3:DateandTime" minOccurs="0"/>
                <xsd:element ref="ns3:MediaServiceObjectDetectorVersions" minOccurs="0"/>
                <xsd:element ref="ns3:Person"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1be66e-528a-4f07-8a62-e810e401598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5" nillable="true" ma:displayName="Taxonomy Catch All Column" ma:hidden="true" ma:list="{30deb325-3506-4e1a-9510-4df32c8d56ee}" ma:internalName="TaxCatchAll" ma:showField="CatchAllData" ma:web="fe1be66e-528a-4f07-8a62-e810e40159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85c1d2-ff8c-4684-85d1-d741f21e304c"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eb2da71-f184-4254-8e62-0576d24e8d4c" ma:termSetId="09814cd3-568e-fe90-9814-8d621ff8fb84" ma:anchorId="fba54fb3-c3e1-fe81-a776-ca4b69148c4d" ma:open="true" ma:isKeyword="false">
      <xsd:complexType>
        <xsd:sequence>
          <xsd:element ref="pc:Terms" minOccurs="0" maxOccurs="1"/>
        </xsd:sequence>
      </xsd:complexType>
    </xsd:element>
    <xsd:element name="DateModified" ma:index="26" nillable="true" ma:displayName="Date Modified" ma:default="[today]" ma:format="DateOnly" ma:internalName="DateModified">
      <xsd:simpleType>
        <xsd:restriction base="dms:DateTime"/>
      </xsd:simpleType>
    </xsd:element>
    <xsd:element name="DateandTime" ma:index="27" nillable="true" ma:displayName="Date and Time" ma:format="DateOnly" ma:internalName="DateandTim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Person" ma:index="2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30" nillable="true" ma:displayName="MediaServiceSearchProperties" ma:hidden="true" ma:internalName="MediaServiceSearchProperties" ma:readOnly="true">
      <xsd:simpleType>
        <xsd:restriction base="dms:Note"/>
      </xsd:simpleType>
    </xsd:element>
    <xsd:element name="_Flow_SignoffStatus" ma:index="31"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c85c1d2-ff8c-4684-85d1-d741f21e304c">
      <Terms xmlns="http://schemas.microsoft.com/office/infopath/2007/PartnerControls"/>
    </lcf76f155ced4ddcb4097134ff3c332f>
    <DateModified xmlns="8c85c1d2-ff8c-4684-85d1-d741f21e304c">2023-03-27T18:30:00+00:00</DateModified>
    <TaxCatchAll xmlns="fe1be66e-528a-4f07-8a62-e810e4015989" xsi:nil="true"/>
    <_ip_UnifiedCompliancePolicyProperties xmlns="http://schemas.microsoft.com/sharepoint/v3" xsi:nil="true"/>
    <DateandTime xmlns="8c85c1d2-ff8c-4684-85d1-d741f21e304c" xsi:nil="true"/>
    <Person xmlns="8c85c1d2-ff8c-4684-85d1-d741f21e304c">
      <UserInfo>
        <DisplayName/>
        <AccountId xsi:nil="true"/>
        <AccountType/>
      </UserInfo>
    </Person>
    <_Flow_SignoffStatus xmlns="8c85c1d2-ff8c-4684-85d1-d741f21e30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27F143-9C24-4BBE-B941-8347428BE71B}"/>
</file>

<file path=customXml/itemProps2.xml><?xml version="1.0" encoding="utf-8"?>
<ds:datastoreItem xmlns:ds="http://schemas.openxmlformats.org/officeDocument/2006/customXml" ds:itemID="{C6BF089C-0725-42CB-AF7A-5B5576812FFF}"/>
</file>

<file path=customXml/itemProps3.xml><?xml version="1.0" encoding="utf-8"?>
<ds:datastoreItem xmlns:ds="http://schemas.openxmlformats.org/officeDocument/2006/customXml" ds:itemID="{E786D4AB-C63F-4E6A-9FF4-C99D6193E1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Sajitha Mohan</dc:creator>
  <cp:keywords/>
  <dc:description/>
  <cp:lastModifiedBy>Karthick Varadarajan</cp:lastModifiedBy>
  <cp:revision/>
  <dcterms:created xsi:type="dcterms:W3CDTF">2023-03-28T12:23:02Z</dcterms:created>
  <dcterms:modified xsi:type="dcterms:W3CDTF">2026-06-11T08:08:03Z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0x0101005B0608C8D36F634AAF719077DBABF93C</vt:lpwstr>
  </property>
  <property fmtid="{D5CDD505-2E9C-101B-9397-08002B2CF9AE}" pid="3" name="MediaServiceImageTags">
    <vt:lpwstr/>
  </property>
</Properties>
</file>